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UF\Dropbox\ahomaho\"/>
    </mc:Choice>
  </mc:AlternateContent>
  <xr:revisionPtr revIDLastSave="0" documentId="13_ncr:1_{8116A893-D96A-4F1A-A7B6-4B1428E0F070}" xr6:coauthVersionLast="47" xr6:coauthVersionMax="47" xr10:uidLastSave="{00000000-0000-0000-0000-000000000000}"/>
  <bookViews>
    <workbookView xWindow="4515" yWindow="-16320" windowWidth="29040" windowHeight="15720" activeTab="4" xr2:uid="{E4EF0A75-3027-4E4B-8C26-85F626F0413B}"/>
  </bookViews>
  <sheets>
    <sheet name="Link" sheetId="4" r:id="rId1"/>
    <sheet name="monetary_variables" sheetId="1" r:id="rId2"/>
    <sheet name="stock_market_variables" sheetId="2" r:id="rId3"/>
    <sheet name="economic_variables" sheetId="3" r:id="rId4"/>
    <sheet name="Assump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4" i="1" l="1"/>
  <c r="L300" i="1"/>
  <c r="K300" i="1"/>
  <c r="J300" i="1"/>
  <c r="I300" i="1"/>
  <c r="H300" i="1"/>
  <c r="G300" i="1"/>
  <c r="F300" i="1"/>
  <c r="E300" i="1"/>
  <c r="L299" i="1"/>
  <c r="K299" i="1"/>
  <c r="J299" i="1"/>
  <c r="I299" i="1"/>
  <c r="H299" i="1"/>
  <c r="G299" i="1"/>
  <c r="F299" i="1"/>
  <c r="E299" i="1"/>
  <c r="L298" i="1"/>
  <c r="K298" i="1"/>
  <c r="J298" i="1"/>
  <c r="I298" i="1"/>
  <c r="H298" i="1"/>
  <c r="G298" i="1"/>
  <c r="F298" i="1"/>
  <c r="E298" i="1"/>
  <c r="N268" i="3"/>
  <c r="N269" i="3"/>
  <c r="T304" i="2"/>
  <c r="C304" i="2"/>
  <c r="Q303" i="2"/>
  <c r="O303" i="2"/>
  <c r="N303" i="2"/>
  <c r="M303" i="2"/>
  <c r="P303" i="2"/>
  <c r="P302" i="2"/>
  <c r="P301" i="2"/>
  <c r="L303" i="2"/>
  <c r="L302" i="2"/>
  <c r="L301" i="2"/>
  <c r="R303" i="2"/>
  <c r="K281" i="3" l="1"/>
  <c r="I281" i="3"/>
  <c r="C281" i="3"/>
  <c r="H303" i="1"/>
  <c r="H302" i="1"/>
  <c r="K280" i="3"/>
  <c r="I280" i="3"/>
  <c r="C280" i="3"/>
  <c r="C304" i="1"/>
  <c r="N262" i="3"/>
  <c r="N263" i="3"/>
  <c r="N264" i="3"/>
  <c r="N265" i="3"/>
  <c r="N266" i="3"/>
  <c r="N267" i="3"/>
  <c r="N258" i="3"/>
  <c r="N259" i="3"/>
  <c r="N260" i="3"/>
  <c r="N261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I279" i="3"/>
  <c r="K279" i="3"/>
  <c r="C279" i="3"/>
  <c r="T303" i="2"/>
  <c r="C303" i="2"/>
  <c r="T302" i="2"/>
  <c r="T301" i="2"/>
  <c r="R301" i="2"/>
  <c r="Q301" i="2"/>
  <c r="O301" i="2"/>
  <c r="N301" i="2"/>
  <c r="M301" i="2"/>
  <c r="C302" i="2"/>
  <c r="K278" i="3"/>
  <c r="I278" i="3"/>
  <c r="C278" i="3"/>
  <c r="C303" i="1"/>
  <c r="K277" i="3"/>
  <c r="I277" i="3"/>
  <c r="C277" i="3"/>
  <c r="H301" i="1"/>
  <c r="C302" i="1"/>
  <c r="C301" i="1"/>
  <c r="C301" i="2"/>
  <c r="R300" i="2"/>
  <c r="Q300" i="2"/>
  <c r="N300" i="2"/>
  <c r="O300" i="2"/>
  <c r="M300" i="2"/>
  <c r="K300" i="2"/>
  <c r="J300" i="2"/>
  <c r="I300" i="2"/>
  <c r="H300" i="2"/>
  <c r="G300" i="2"/>
  <c r="P300" i="2"/>
  <c r="L300" i="2"/>
  <c r="T300" i="2"/>
  <c r="R299" i="2"/>
  <c r="T299" i="2"/>
  <c r="Q299" i="2"/>
  <c r="O299" i="2"/>
  <c r="N299" i="2"/>
  <c r="M299" i="2"/>
  <c r="P299" i="2"/>
  <c r="L299" i="2"/>
  <c r="C300" i="2" l="1"/>
  <c r="K276" i="3"/>
  <c r="I276" i="3"/>
  <c r="C276" i="3"/>
  <c r="C300" i="1"/>
  <c r="L297" i="1"/>
  <c r="K297" i="1"/>
  <c r="J297" i="1"/>
  <c r="I297" i="1"/>
  <c r="H297" i="1"/>
  <c r="G297" i="1"/>
  <c r="F297" i="1"/>
  <c r="E297" i="1"/>
  <c r="L296" i="1"/>
  <c r="K296" i="1"/>
  <c r="J296" i="1"/>
  <c r="I296" i="1"/>
  <c r="H296" i="1"/>
  <c r="G296" i="1"/>
  <c r="F296" i="1"/>
  <c r="E296" i="1"/>
  <c r="L295" i="1"/>
  <c r="K295" i="1"/>
  <c r="J295" i="1"/>
  <c r="I295" i="1"/>
  <c r="H295" i="1"/>
  <c r="G295" i="1"/>
  <c r="F295" i="1"/>
  <c r="E295" i="1"/>
  <c r="C299" i="1"/>
  <c r="C299" i="2"/>
  <c r="T298" i="2"/>
  <c r="R298" i="2"/>
  <c r="Q298" i="2"/>
  <c r="O298" i="2"/>
  <c r="N298" i="2"/>
  <c r="M298" i="2"/>
  <c r="K298" i="2"/>
  <c r="J298" i="2"/>
  <c r="I297" i="2"/>
  <c r="I298" i="2"/>
  <c r="G298" i="2"/>
  <c r="H298" i="2"/>
  <c r="P298" i="2"/>
  <c r="L298" i="2"/>
  <c r="K275" i="3" l="1"/>
  <c r="I275" i="3"/>
  <c r="C275" i="3"/>
  <c r="K274" i="3"/>
  <c r="I274" i="3"/>
  <c r="C274" i="3"/>
  <c r="R297" i="2"/>
  <c r="Q297" i="2"/>
  <c r="O297" i="2"/>
  <c r="N297" i="2"/>
  <c r="M297" i="2"/>
  <c r="P297" i="2"/>
  <c r="L297" i="2"/>
  <c r="U294" i="2" l="1"/>
  <c r="U293" i="2"/>
  <c r="T296" i="2"/>
  <c r="U295" i="2"/>
  <c r="T295" i="2"/>
  <c r="K273" i="3"/>
  <c r="I273" i="3"/>
  <c r="J271" i="3"/>
  <c r="I271" i="3"/>
  <c r="C273" i="3"/>
  <c r="C298" i="2"/>
  <c r="N154" i="3" l="1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153" i="3"/>
  <c r="C298" i="1"/>
  <c r="L294" i="1"/>
  <c r="K294" i="1"/>
  <c r="J294" i="1"/>
  <c r="I294" i="1"/>
  <c r="H294" i="1"/>
  <c r="G294" i="1"/>
  <c r="F294" i="1"/>
  <c r="E294" i="1"/>
  <c r="L293" i="1"/>
  <c r="K293" i="1"/>
  <c r="J293" i="1"/>
  <c r="I293" i="1"/>
  <c r="H293" i="1"/>
  <c r="G293" i="1"/>
  <c r="F293" i="1"/>
  <c r="E293" i="1"/>
  <c r="R296" i="2"/>
  <c r="Q296" i="2"/>
  <c r="O296" i="2"/>
  <c r="N296" i="2"/>
  <c r="M296" i="2"/>
  <c r="P296" i="2"/>
  <c r="L296" i="2"/>
  <c r="T297" i="2" l="1"/>
  <c r="C297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C297" i="1"/>
  <c r="I272" i="3" l="1"/>
  <c r="C272" i="3"/>
  <c r="R295" i="2"/>
  <c r="Q295" i="2"/>
  <c r="O295" i="2"/>
  <c r="N295" i="2"/>
  <c r="M295" i="2"/>
  <c r="P295" i="2"/>
  <c r="L295" i="2"/>
  <c r="C296" i="2" l="1"/>
  <c r="C296" i="1"/>
  <c r="C271" i="3" l="1"/>
  <c r="J270" i="3"/>
  <c r="R293" i="2"/>
  <c r="R294" i="2"/>
  <c r="Q294" i="2"/>
  <c r="O294" i="2"/>
  <c r="N294" i="2"/>
  <c r="M294" i="2"/>
  <c r="P294" i="2"/>
  <c r="L294" i="2"/>
  <c r="L292" i="1" l="1"/>
  <c r="K292" i="1"/>
  <c r="J292" i="1"/>
  <c r="I292" i="1"/>
  <c r="H292" i="1"/>
  <c r="G292" i="1"/>
  <c r="F292" i="1"/>
  <c r="E292" i="1"/>
  <c r="L291" i="1"/>
  <c r="K291" i="1"/>
  <c r="J291" i="1"/>
  <c r="I291" i="1"/>
  <c r="H291" i="1"/>
  <c r="G291" i="1"/>
  <c r="F291" i="1"/>
  <c r="E291" i="1"/>
  <c r="L290" i="1"/>
  <c r="K290" i="1"/>
  <c r="J290" i="1"/>
  <c r="I290" i="1"/>
  <c r="G290" i="1"/>
  <c r="F290" i="1"/>
  <c r="H290" i="1"/>
  <c r="E290" i="1"/>
  <c r="C295" i="1"/>
  <c r="C295" i="2"/>
  <c r="J269" i="3"/>
  <c r="C294" i="1"/>
  <c r="C270" i="3"/>
  <c r="P293" i="2"/>
  <c r="L293" i="2"/>
  <c r="Q293" i="2"/>
  <c r="O293" i="2"/>
  <c r="N293" i="2"/>
  <c r="M293" i="2"/>
  <c r="C294" i="2" l="1"/>
  <c r="J268" i="3"/>
  <c r="C293" i="1"/>
  <c r="C269" i="3"/>
  <c r="L289" i="1"/>
  <c r="K289" i="1"/>
  <c r="J289" i="1"/>
  <c r="I289" i="1"/>
  <c r="G289" i="1"/>
  <c r="F289" i="1"/>
  <c r="H289" i="1"/>
  <c r="E289" i="1"/>
  <c r="P292" i="2"/>
  <c r="L292" i="2"/>
  <c r="R292" i="2"/>
  <c r="Q292" i="2"/>
  <c r="O292" i="2"/>
  <c r="N292" i="2"/>
  <c r="M292" i="2"/>
  <c r="J267" i="3" l="1"/>
  <c r="C293" i="2"/>
  <c r="C292" i="1"/>
  <c r="C268" i="3"/>
  <c r="C292" i="2"/>
  <c r="Q291" i="2"/>
  <c r="O291" i="2"/>
  <c r="N291" i="2"/>
  <c r="O290" i="2"/>
  <c r="O289" i="2"/>
  <c r="O288" i="2"/>
  <c r="M291" i="2"/>
  <c r="L291" i="2"/>
  <c r="L288" i="1" l="1"/>
  <c r="M290" i="2" l="1"/>
  <c r="M289" i="2"/>
  <c r="M288" i="2"/>
  <c r="L290" i="2"/>
  <c r="K288" i="1" l="1"/>
  <c r="H288" i="1"/>
  <c r="G288" i="1"/>
  <c r="F288" i="1"/>
  <c r="E288" i="1"/>
  <c r="J263" i="3" l="1"/>
  <c r="J264" i="3"/>
  <c r="J265" i="3"/>
  <c r="J266" i="3"/>
  <c r="C267" i="3" l="1"/>
  <c r="C266" i="3"/>
  <c r="C291" i="2"/>
  <c r="C290" i="2"/>
  <c r="C291" i="1"/>
  <c r="C290" i="1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L288" i="2"/>
  <c r="L287" i="2"/>
  <c r="L286" i="2"/>
  <c r="L285" i="2"/>
  <c r="L284" i="2"/>
  <c r="H287" i="1"/>
  <c r="H286" i="1"/>
</calcChain>
</file>

<file path=xl/sharedStrings.xml><?xml version="1.0" encoding="utf-8"?>
<sst xmlns="http://schemas.openxmlformats.org/spreadsheetml/2006/main" count="2122" uniqueCount="368">
  <si>
    <t>فروردین 1380</t>
  </si>
  <si>
    <t>اردیبهشت 1380</t>
  </si>
  <si>
    <t>خرداد 1380</t>
  </si>
  <si>
    <t>تیر 1380</t>
  </si>
  <si>
    <t>مرداد 1380</t>
  </si>
  <si>
    <t>شهریور 1380</t>
  </si>
  <si>
    <t>مهر 1380</t>
  </si>
  <si>
    <t>آبان 1380</t>
  </si>
  <si>
    <t>آذر 1380</t>
  </si>
  <si>
    <t>دی 1380</t>
  </si>
  <si>
    <t>بهمن 1380</t>
  </si>
  <si>
    <t>اسفند 1380</t>
  </si>
  <si>
    <t>فروردین 1381</t>
  </si>
  <si>
    <t>اردیبهشت 1381</t>
  </si>
  <si>
    <t>خرداد 1381</t>
  </si>
  <si>
    <t>تیر 1381</t>
  </si>
  <si>
    <t>مرداد 1381</t>
  </si>
  <si>
    <t>شهریور 1381</t>
  </si>
  <si>
    <t>مهر 1381</t>
  </si>
  <si>
    <t>آبان 1381</t>
  </si>
  <si>
    <t>آذر 1381</t>
  </si>
  <si>
    <t>دی 1381</t>
  </si>
  <si>
    <t>بهمن 1381</t>
  </si>
  <si>
    <t>اسفند 1381</t>
  </si>
  <si>
    <t>فروردین 1382</t>
  </si>
  <si>
    <t>اردیبهشت 1382</t>
  </si>
  <si>
    <t>خرداد 1382</t>
  </si>
  <si>
    <t>تیر 1382</t>
  </si>
  <si>
    <t>مرداد 1382</t>
  </si>
  <si>
    <t>شهریور 1382</t>
  </si>
  <si>
    <t>مهر 1382</t>
  </si>
  <si>
    <t>آبان 1382</t>
  </si>
  <si>
    <t>آذر 1382</t>
  </si>
  <si>
    <t>دی 1382</t>
  </si>
  <si>
    <t>بهمن 1382</t>
  </si>
  <si>
    <t>اسفند 1382</t>
  </si>
  <si>
    <t>فروردین 1383</t>
  </si>
  <si>
    <t>اردیبهشت 1383</t>
  </si>
  <si>
    <t>خرداد 1383</t>
  </si>
  <si>
    <t>تیر 1383</t>
  </si>
  <si>
    <t>مرداد 1383</t>
  </si>
  <si>
    <t>شهریور 1383</t>
  </si>
  <si>
    <t>مهر 1383</t>
  </si>
  <si>
    <t>آبان 1383</t>
  </si>
  <si>
    <t>آذر 1383</t>
  </si>
  <si>
    <t>دی 1383</t>
  </si>
  <si>
    <t>بهمن 1383</t>
  </si>
  <si>
    <t>اسفند 1383</t>
  </si>
  <si>
    <t>فروردین 1384</t>
  </si>
  <si>
    <t>اردیبهشت 1384</t>
  </si>
  <si>
    <t>خرداد 1384</t>
  </si>
  <si>
    <t>تیر 1384</t>
  </si>
  <si>
    <t>مرداد 1384</t>
  </si>
  <si>
    <t>شهریور 1384</t>
  </si>
  <si>
    <t>مهر 1384</t>
  </si>
  <si>
    <t>آبان 1384</t>
  </si>
  <si>
    <t>آذر 1384</t>
  </si>
  <si>
    <t>دی 1384</t>
  </si>
  <si>
    <t>بهمن 1384</t>
  </si>
  <si>
    <t>اسفند 1384</t>
  </si>
  <si>
    <t>فروردین 1385</t>
  </si>
  <si>
    <t>اردیبهشت 1385</t>
  </si>
  <si>
    <t>خرداد 1385</t>
  </si>
  <si>
    <t>تیر 1385</t>
  </si>
  <si>
    <t>مرداد 1385</t>
  </si>
  <si>
    <t>شهریور 1385</t>
  </si>
  <si>
    <t>مهر 1385</t>
  </si>
  <si>
    <t>آبان 1385</t>
  </si>
  <si>
    <t>آذر 1385</t>
  </si>
  <si>
    <t>دی 1385</t>
  </si>
  <si>
    <t>بهمن 1385</t>
  </si>
  <si>
    <t>اسفند 1385</t>
  </si>
  <si>
    <t>فروردین 1386</t>
  </si>
  <si>
    <t>اردیبهشت 1386</t>
  </si>
  <si>
    <t>خرداد 1386</t>
  </si>
  <si>
    <t>تیر 1386</t>
  </si>
  <si>
    <t>مرداد 1386</t>
  </si>
  <si>
    <t>شهریور 1386</t>
  </si>
  <si>
    <t>مهر 1386</t>
  </si>
  <si>
    <t>آبان 1386</t>
  </si>
  <si>
    <t>آذر 1386</t>
  </si>
  <si>
    <t>دی 1386</t>
  </si>
  <si>
    <t>بهمن 1386</t>
  </si>
  <si>
    <t>اسفند 1386</t>
  </si>
  <si>
    <t>فروردین 1387</t>
  </si>
  <si>
    <t>اردیبهشت 1387</t>
  </si>
  <si>
    <t>خرداد 1387</t>
  </si>
  <si>
    <t>تیر 1387</t>
  </si>
  <si>
    <t>مرداد 1387</t>
  </si>
  <si>
    <t>شهریور 1387</t>
  </si>
  <si>
    <t>مهر 1387</t>
  </si>
  <si>
    <t>آبان 1387</t>
  </si>
  <si>
    <t>آذر 1387</t>
  </si>
  <si>
    <t>دی 1387</t>
  </si>
  <si>
    <t>بهمن 1387</t>
  </si>
  <si>
    <t>اسفند 1387</t>
  </si>
  <si>
    <t>فروردین 1388</t>
  </si>
  <si>
    <t>اردیبهشت 1388</t>
  </si>
  <si>
    <t>خرداد 1388</t>
  </si>
  <si>
    <t>تیر 1388</t>
  </si>
  <si>
    <t>مرداد 1388</t>
  </si>
  <si>
    <t>شهریور 1388</t>
  </si>
  <si>
    <t>مهر 1388</t>
  </si>
  <si>
    <t>آبان 1388</t>
  </si>
  <si>
    <t>آذر 1388</t>
  </si>
  <si>
    <t>دی 1388</t>
  </si>
  <si>
    <t>بهمن 1388</t>
  </si>
  <si>
    <t>اسفند 1388</t>
  </si>
  <si>
    <t>فروردین 1389</t>
  </si>
  <si>
    <t>اردیبهشت 1389</t>
  </si>
  <si>
    <t>خرداد 1389</t>
  </si>
  <si>
    <t>تیر 1389</t>
  </si>
  <si>
    <t>مرداد 1389</t>
  </si>
  <si>
    <t>شهریور 1389</t>
  </si>
  <si>
    <t>مهر 1389</t>
  </si>
  <si>
    <t>آبان 1389</t>
  </si>
  <si>
    <t>آذر 1389</t>
  </si>
  <si>
    <t>دی 1389</t>
  </si>
  <si>
    <t>بهمن 1389</t>
  </si>
  <si>
    <t>اسفند 1389</t>
  </si>
  <si>
    <t>فروردین 1390</t>
  </si>
  <si>
    <t>اردیبهشت 1390</t>
  </si>
  <si>
    <t>خرداد 1390</t>
  </si>
  <si>
    <t>تیر 1390</t>
  </si>
  <si>
    <t>مرداد 1390</t>
  </si>
  <si>
    <t>شهریور 1390</t>
  </si>
  <si>
    <t>مهر 1390</t>
  </si>
  <si>
    <t>آبان 1390</t>
  </si>
  <si>
    <t>آذر 1390</t>
  </si>
  <si>
    <t>دی 1390</t>
  </si>
  <si>
    <t>بهمن 1390</t>
  </si>
  <si>
    <t>اسفند 1390</t>
  </si>
  <si>
    <t>فروردین 1391</t>
  </si>
  <si>
    <t>اردیبهشت 1391</t>
  </si>
  <si>
    <t>خرداد 1391</t>
  </si>
  <si>
    <t>تیر 1391</t>
  </si>
  <si>
    <t>مرداد 1391</t>
  </si>
  <si>
    <t>شهریور 1391</t>
  </si>
  <si>
    <t>مهر 1391</t>
  </si>
  <si>
    <t>آبان 1391</t>
  </si>
  <si>
    <t>آذر 1391</t>
  </si>
  <si>
    <t>دی 1391</t>
  </si>
  <si>
    <t>بهمن 1391</t>
  </si>
  <si>
    <t>اسفند 1391</t>
  </si>
  <si>
    <t>فروردین 1392</t>
  </si>
  <si>
    <t>اردیبهشت 1392</t>
  </si>
  <si>
    <t>خرداد 1392</t>
  </si>
  <si>
    <t>تیر 1392</t>
  </si>
  <si>
    <t>مرداد 1392</t>
  </si>
  <si>
    <t>شهریور 1392</t>
  </si>
  <si>
    <t>مهر 1392</t>
  </si>
  <si>
    <t>آبان 1392</t>
  </si>
  <si>
    <t>آذر 1392</t>
  </si>
  <si>
    <t>دی 1392</t>
  </si>
  <si>
    <t>بهمن 1392</t>
  </si>
  <si>
    <t>اسفند 1392</t>
  </si>
  <si>
    <t>فروردین 1393</t>
  </si>
  <si>
    <t>اردیبهشت 1393</t>
  </si>
  <si>
    <t>خرداد 1393</t>
  </si>
  <si>
    <t>تیر 1393</t>
  </si>
  <si>
    <t>مرداد 1393</t>
  </si>
  <si>
    <t>شهریور 1393</t>
  </si>
  <si>
    <t>مهر 1393</t>
  </si>
  <si>
    <t>آبان 1393</t>
  </si>
  <si>
    <t>آذر 1393</t>
  </si>
  <si>
    <t>دی 1393</t>
  </si>
  <si>
    <t>بهمن 1393</t>
  </si>
  <si>
    <t>اسفند 1393</t>
  </si>
  <si>
    <t>فروردین 1394</t>
  </si>
  <si>
    <t>اردیبهشت 1394</t>
  </si>
  <si>
    <t>خرداد 1394</t>
  </si>
  <si>
    <t>تیر 1394</t>
  </si>
  <si>
    <t>مرداد 1394</t>
  </si>
  <si>
    <t>شهریور 1394</t>
  </si>
  <si>
    <t>مهر 1394</t>
  </si>
  <si>
    <t>آبان 1394</t>
  </si>
  <si>
    <t>آذر 1394</t>
  </si>
  <si>
    <t>دی 1394</t>
  </si>
  <si>
    <t>بهمن 1394</t>
  </si>
  <si>
    <t>اسفند 1394</t>
  </si>
  <si>
    <t>فروردین 1395</t>
  </si>
  <si>
    <t>اردیبهشت 1395</t>
  </si>
  <si>
    <t>خرداد 1395</t>
  </si>
  <si>
    <t>تیر 1395</t>
  </si>
  <si>
    <t>مرداد 1395</t>
  </si>
  <si>
    <t>شهریور 1395</t>
  </si>
  <si>
    <t>مهر 1395</t>
  </si>
  <si>
    <t>آبان 1395</t>
  </si>
  <si>
    <t>آذر 1395</t>
  </si>
  <si>
    <t>دی 1395</t>
  </si>
  <si>
    <t>بهمن 1395</t>
  </si>
  <si>
    <t>اسفند 1395</t>
  </si>
  <si>
    <t>فروردین 1396</t>
  </si>
  <si>
    <t>اردیبهشت 1396</t>
  </si>
  <si>
    <t>خرداد 1396</t>
  </si>
  <si>
    <t>تیر 1396</t>
  </si>
  <si>
    <t>مرداد 1396</t>
  </si>
  <si>
    <t>شهریور 1396</t>
  </si>
  <si>
    <t>مهر 1396</t>
  </si>
  <si>
    <t>آبان 1396</t>
  </si>
  <si>
    <t>آذر 1396</t>
  </si>
  <si>
    <t>دی 1396</t>
  </si>
  <si>
    <t>بهمن 1396</t>
  </si>
  <si>
    <t>اسفند 1396</t>
  </si>
  <si>
    <t>فروردین 1397</t>
  </si>
  <si>
    <t>اردیبهشت 1397</t>
  </si>
  <si>
    <t>خرداد 1397</t>
  </si>
  <si>
    <t>تیر 1397</t>
  </si>
  <si>
    <t>مرداد 1397</t>
  </si>
  <si>
    <t>شهریور 1397</t>
  </si>
  <si>
    <t>مهر 1397</t>
  </si>
  <si>
    <t>آبان 1397</t>
  </si>
  <si>
    <t>آذر 1397</t>
  </si>
  <si>
    <t>دی 1397</t>
  </si>
  <si>
    <t>بهمن 1397</t>
  </si>
  <si>
    <t>اسفند 1397</t>
  </si>
  <si>
    <t>فروردین 1398</t>
  </si>
  <si>
    <t>اردیبهشت 1398</t>
  </si>
  <si>
    <t>خرداد 1398</t>
  </si>
  <si>
    <t>تیر 1398</t>
  </si>
  <si>
    <t>مرداد 1398</t>
  </si>
  <si>
    <t>شهریور 1398</t>
  </si>
  <si>
    <t>مهر 1398</t>
  </si>
  <si>
    <t>آبان 1398</t>
  </si>
  <si>
    <t>آذر 1398</t>
  </si>
  <si>
    <t>دی 1398</t>
  </si>
  <si>
    <t>بهمن 1398</t>
  </si>
  <si>
    <t>اسفند 1398</t>
  </si>
  <si>
    <t>فروردین 1399</t>
  </si>
  <si>
    <t>اردیبهشت 1399</t>
  </si>
  <si>
    <t>خرداد 1399</t>
  </si>
  <si>
    <t>تیر 1399</t>
  </si>
  <si>
    <t>مرداد 1399</t>
  </si>
  <si>
    <t>شهریور 1399</t>
  </si>
  <si>
    <t>مهر 1399</t>
  </si>
  <si>
    <t>آبان 1399</t>
  </si>
  <si>
    <t>آذر 1399</t>
  </si>
  <si>
    <t>دی 1399</t>
  </si>
  <si>
    <t>بهمن 1399</t>
  </si>
  <si>
    <t>اسفند 1399</t>
  </si>
  <si>
    <t>فروردین 1400</t>
  </si>
  <si>
    <t>اردیبهشت 1400</t>
  </si>
  <si>
    <t>خرداد 1400</t>
  </si>
  <si>
    <t>تیر 1400</t>
  </si>
  <si>
    <t>مرداد 1400</t>
  </si>
  <si>
    <t>شهریور 1400</t>
  </si>
  <si>
    <t>مهر 1400</t>
  </si>
  <si>
    <t>آبان 1400</t>
  </si>
  <si>
    <t>آذر 1400</t>
  </si>
  <si>
    <t>دی 1400</t>
  </si>
  <si>
    <t>بهمن 1400</t>
  </si>
  <si>
    <t>اسفند 1400</t>
  </si>
  <si>
    <t>فروردین 1401</t>
  </si>
  <si>
    <t>اردیبهشت 1401</t>
  </si>
  <si>
    <t>خرداد 1401</t>
  </si>
  <si>
    <t>تیر 1401</t>
  </si>
  <si>
    <t>مرداد 1401</t>
  </si>
  <si>
    <t>شهریور 1401</t>
  </si>
  <si>
    <t>مهر 1401</t>
  </si>
  <si>
    <t>آبان 1401</t>
  </si>
  <si>
    <t>آذر 1401</t>
  </si>
  <si>
    <t>دی 1401</t>
  </si>
  <si>
    <t>بهمن 1401</t>
  </si>
  <si>
    <t>اسفند 1401</t>
  </si>
  <si>
    <t>فروردین 1402</t>
  </si>
  <si>
    <t>اردیبهشت 1402</t>
  </si>
  <si>
    <t>خرداد 1402</t>
  </si>
  <si>
    <t>تیر 1402</t>
  </si>
  <si>
    <t>مرداد 1402</t>
  </si>
  <si>
    <t>شهریور 1402</t>
  </si>
  <si>
    <t>مهر 1402</t>
  </si>
  <si>
    <t>آبان 1402</t>
  </si>
  <si>
    <t>آذر 1402</t>
  </si>
  <si>
    <t>دی 1402</t>
  </si>
  <si>
    <t>بهمن 1402</t>
  </si>
  <si>
    <t>اسفند 1402</t>
  </si>
  <si>
    <t>فروردین 1403</t>
  </si>
  <si>
    <t>اردیبهشت 1403</t>
  </si>
  <si>
    <t>خرداد 1403</t>
  </si>
  <si>
    <t>تیر 1403</t>
  </si>
  <si>
    <t>مرداد 1403</t>
  </si>
  <si>
    <t>شهریور 1403</t>
  </si>
  <si>
    <t>مهر 1403</t>
  </si>
  <si>
    <t>آبان 1403</t>
  </si>
  <si>
    <t>آذر 1403</t>
  </si>
  <si>
    <t>دی  1403</t>
  </si>
  <si>
    <t>بهمن 1403</t>
  </si>
  <si>
    <t>اسفند 1403</t>
  </si>
  <si>
    <t>فروردین</t>
  </si>
  <si>
    <t>اردیبهشت</t>
  </si>
  <si>
    <t>خرداد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</si>
  <si>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</si>
  <si>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</si>
  <si>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</si>
  <si>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</si>
  <si>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</si>
  <si>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</si>
  <si>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</si>
  <si>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</si>
  <si>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</si>
  <si>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 xml:space="preserve">دی </t>
  </si>
  <si>
    <t>هزار میلیارد تومان</t>
  </si>
  <si>
    <t>P/E</t>
  </si>
  <si>
    <t>US CPI</t>
  </si>
  <si>
    <t>US Inflation</t>
  </si>
  <si>
    <t>ردیف</t>
  </si>
  <si>
    <t>مراجع</t>
  </si>
  <si>
    <t>لینک</t>
  </si>
  <si>
    <t>لینک 2</t>
  </si>
  <si>
    <t>01_گزارش سه ماهه نماگرهای اقتصادی بانک مرکزی</t>
  </si>
  <si>
    <t>02_گزارش آمارهای بانکی بانک مرکزی</t>
  </si>
  <si>
    <t>03_گزارش بخش پولی و بانکی بانک مرکزی</t>
  </si>
  <si>
    <t>04_گزارش بخش تراز پرداخت های بانک مرکزی</t>
  </si>
  <si>
    <t>05_گزارش تحولات بازار مسکن شهر تهران بانک مرکزی</t>
  </si>
  <si>
    <t>06_گزارش حراج اوراق مالی اسلامی دولتی بانک مرکزی</t>
  </si>
  <si>
    <t>07_گزارش عملکرد بازار بین بانکی ریالی بانک مرکزی</t>
  </si>
  <si>
    <t>08_گزارشات تفصیلی ماهانه بازار بورس</t>
  </si>
  <si>
    <t>09_شاخص قیمت مصرف کننده خانوارهای شهری کشور مرکز آمار</t>
  </si>
  <si>
    <t>10_حساب های ملی فصلی مرکز آمار</t>
  </si>
  <si>
    <t>11_شاخص قیمت تولید کننده کل کشور مرکز آمار</t>
  </si>
  <si>
    <t>12_شاخص تورم آمریکا</t>
  </si>
  <si>
    <t>16_نرخ بهره بدون ریسک آمریکا</t>
  </si>
  <si>
    <t>stock_index</t>
  </si>
  <si>
    <t>equal_weight_index</t>
  </si>
  <si>
    <t>farabourse_index</t>
  </si>
  <si>
    <t>price_index_equal_weight</t>
  </si>
  <si>
    <t>price_index_value_weight</t>
  </si>
  <si>
    <t>housing</t>
  </si>
  <si>
    <t>rent</t>
  </si>
  <si>
    <t>inflation</t>
  </si>
  <si>
    <t>index</t>
  </si>
  <si>
    <t>inflation_excl_rent</t>
  </si>
  <si>
    <t>unit</t>
  </si>
  <si>
    <t>dollar_free_market_IR</t>
  </si>
  <si>
    <t>Monetary_base_KBT</t>
  </si>
  <si>
    <t>Money_KBT</t>
  </si>
  <si>
    <t>near_money_KBT</t>
  </si>
  <si>
    <t>Liquidity_KBT</t>
  </si>
  <si>
    <t>gov_debt_central_bank_KBT</t>
  </si>
  <si>
    <t>gov_debt_banks_KBT</t>
  </si>
  <si>
    <t>banks_debt_central_bank_KBT</t>
  </si>
  <si>
    <t>net_foreign_assets_banking_KBT</t>
  </si>
  <si>
    <t>nima_rate_IR</t>
  </si>
  <si>
    <t>stock_market_value_KBT</t>
  </si>
  <si>
    <t>stock_trading_value_KBT</t>
  </si>
  <si>
    <t>stock_etf_trading_value_KBT</t>
  </si>
  <si>
    <t>farabourse_trading_value_KBT</t>
  </si>
  <si>
    <t>farabourse_market_value_KBT</t>
  </si>
  <si>
    <t>farabourse_etf_trading_value_KBT</t>
  </si>
  <si>
    <t>year</t>
  </si>
  <si>
    <t>month</t>
  </si>
  <si>
    <t>year_month</t>
  </si>
  <si>
    <t>option_trading_value_BT</t>
  </si>
  <si>
    <t>گزارش ماهانه صندوق ها</t>
  </si>
  <si>
    <t>risk_free_rate</t>
  </si>
  <si>
    <t>real_interest_rate</t>
  </si>
  <si>
    <t>متغیر</t>
  </si>
  <si>
    <t>مفروض</t>
  </si>
  <si>
    <t>تورم آمریکا</t>
  </si>
  <si>
    <t>دلار (تومان)</t>
  </si>
  <si>
    <t>رشد نقدینگی سالانه دی</t>
  </si>
  <si>
    <t>رشد نقدینگی سالانه بهمن</t>
  </si>
  <si>
    <t>رشد نقدینگی اسفند</t>
  </si>
  <si>
    <t>رشد نقدینگی فروردین</t>
  </si>
  <si>
    <t>رشد نقدینگی اردیبهشت</t>
  </si>
  <si>
    <t>تورم نقطه به نقطه خرداد</t>
  </si>
  <si>
    <t>رشد نقدینگی خرداد</t>
  </si>
  <si>
    <t>تورم نقطه به نقطه تیر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</si>
</sst>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0.0"/>
    <numFmt numFmtId="166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B Nazanin"/>
      <charset val="178"/>
    </font>
    <font>
      <sz val="11"/>
      <color theme="1"/>
      <name val="B Nazanin"/>
      <charset val="178"/>
    </font>
    <font>
      <u/>
      <sz val="11"/>
      <color theme="10"/>
      <name val="Aptos Narrow"/>
      <family val="2"/>
      <scheme val="minor"/>
    </font>
    <font>
      <sz val="11"/>
      <color theme="1"/>
      <name val="B Mitra"/>
      <charset val="178"/>
    </font>
    <font>
      <sz val="14"/>
      <color theme="1"/>
      <name val="Times New Roman"/>
      <family val="1"/>
    </font>
    <font>
      <sz val="11"/>
      <name val="B Mitra"/>
      <charset val="178"/>
    </font>
    <font>
      <b/>
      <i/>
      <sz val="10"/>
      <color theme="7" tint="-0.499984740745262"/>
      <name val="B Mitra"/>
      <charset val="178"/>
    </font>
    <font>
      <b/>
      <i/>
      <sz val="10"/>
      <color theme="7" tint="-0.499984740745262"/>
      <name val="B Nazanin"/>
      <charset val="178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7" tint="-0.499984740745262"/>
      <name val="Times New Roman"/>
      <family val="1"/>
    </font>
    <font>
      <sz val="11"/>
      <color theme="1"/>
      <name val="Calibri"/>
      <family val="2"/>
    </font>
    <font>
      <sz val="12"/>
      <color theme="1"/>
      <name val="B Nazanin"/>
      <charset val="178"/>
    </font>
    <font>
      <u/>
      <sz val="12"/>
      <color theme="10"/>
      <name val="B Nazanin"/>
      <charset val="178"/>
    </font>
    <font>
      <u/>
      <sz val="11"/>
      <color theme="10"/>
      <name val="B Nazanin"/>
      <charset val="178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4" fillId="0" borderId="0"/>
    <xf numFmtId="0" fontId="14" fillId="0" borderId="0"/>
  </cellStyleXfs>
  <cellXfs count="5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3" fontId="3" fillId="0" borderId="7" xfId="0" applyNumberFormat="1" applyFont="1" applyBorder="1" applyAlignment="1">
      <alignment vertical="center"/>
    </xf>
    <xf numFmtId="3" fontId="3" fillId="0" borderId="7" xfId="0" applyNumberFormat="1" applyFont="1" applyBorder="1" applyAlignment="1">
      <alignment horizontal="center" vertical="center"/>
    </xf>
    <xf numFmtId="3" fontId="3" fillId="0" borderId="7" xfId="1" applyNumberFormat="1" applyFont="1" applyFill="1" applyBorder="1" applyAlignment="1">
      <alignment horizontal="center" vertical="center"/>
    </xf>
    <xf numFmtId="3" fontId="3" fillId="4" borderId="7" xfId="1" applyNumberFormat="1" applyFont="1" applyFill="1" applyBorder="1" applyAlignment="1">
      <alignment horizontal="center" vertical="center"/>
    </xf>
    <xf numFmtId="3" fontId="3" fillId="0" borderId="7" xfId="1" applyNumberFormat="1" applyFont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3" fontId="3" fillId="0" borderId="0" xfId="1" applyNumberFormat="1" applyFont="1" applyAlignment="1">
      <alignment horizontal="center" vertical="center"/>
    </xf>
    <xf numFmtId="3" fontId="3" fillId="3" borderId="0" xfId="1" applyNumberFormat="1" applyFont="1" applyFill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/>
    </xf>
    <xf numFmtId="3" fontId="2" fillId="0" borderId="9" xfId="0" applyNumberFormat="1" applyFont="1" applyBorder="1" applyAlignment="1">
      <alignment horizontal="center" vertical="center" wrapText="1"/>
    </xf>
    <xf numFmtId="3" fontId="2" fillId="0" borderId="10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 wrapText="1"/>
    </xf>
    <xf numFmtId="3" fontId="2" fillId="0" borderId="10" xfId="0" applyNumberFormat="1" applyFont="1" applyBorder="1" applyAlignment="1">
      <alignment horizontal="center"/>
    </xf>
    <xf numFmtId="166" fontId="5" fillId="0" borderId="0" xfId="2" applyNumberFormat="1" applyFont="1" applyBorder="1" applyAlignment="1">
      <alignment horizontal="center" vertical="center" readingOrder="2"/>
    </xf>
    <xf numFmtId="1" fontId="3" fillId="0" borderId="0" xfId="2" applyNumberFormat="1" applyFont="1" applyBorder="1" applyAlignment="1">
      <alignment horizontal="center" vertical="center" readingOrder="2"/>
    </xf>
    <xf numFmtId="10" fontId="3" fillId="0" borderId="0" xfId="2" applyNumberFormat="1" applyFont="1" applyBorder="1" applyAlignment="1">
      <alignment horizontal="center" vertical="center" readingOrder="2"/>
    </xf>
    <xf numFmtId="165" fontId="8" fillId="0" borderId="0" xfId="0" applyNumberFormat="1" applyFont="1" applyAlignment="1">
      <alignment horizontal="center" vertical="center" readingOrder="2"/>
    </xf>
    <xf numFmtId="165" fontId="9" fillId="0" borderId="0" xfId="0" applyNumberFormat="1" applyFont="1" applyAlignment="1">
      <alignment horizontal="center" vertical="center" readingOrder="2"/>
    </xf>
    <xf numFmtId="0" fontId="2" fillId="0" borderId="0" xfId="0" applyFont="1" applyAlignment="1">
      <alignment horizontal="center" vertical="center" readingOrder="2"/>
    </xf>
    <xf numFmtId="9" fontId="7" fillId="0" borderId="5" xfId="2" applyFont="1" applyBorder="1" applyAlignment="1">
      <alignment horizontal="center" vertical="center" readingOrder="2"/>
    </xf>
    <xf numFmtId="3" fontId="2" fillId="0" borderId="0" xfId="0" applyNumberFormat="1" applyFont="1" applyAlignment="1">
      <alignment horizontal="center" vertical="center" wrapText="1"/>
    </xf>
    <xf numFmtId="3" fontId="3" fillId="0" borderId="0" xfId="1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164" fontId="11" fillId="0" borderId="8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4" fontId="11" fillId="0" borderId="13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readingOrder="2"/>
    </xf>
    <xf numFmtId="0" fontId="6" fillId="0" borderId="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readingOrder="2"/>
    </xf>
    <xf numFmtId="0" fontId="13" fillId="0" borderId="0" xfId="0" applyFont="1" applyAlignment="1">
      <alignment horizontal="center" vertical="center"/>
    </xf>
    <xf numFmtId="0" fontId="6" fillId="0" borderId="12" xfId="0" applyFont="1" applyBorder="1" applyAlignment="1">
      <alignment horizontal="center" vertical="center" readingOrder="2"/>
    </xf>
    <xf numFmtId="9" fontId="7" fillId="0" borderId="14" xfId="2" applyFont="1" applyBorder="1" applyAlignment="1">
      <alignment horizontal="center" vertical="center" readingOrder="2"/>
    </xf>
    <xf numFmtId="3" fontId="3" fillId="0" borderId="0" xfId="1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3" fontId="2" fillId="3" borderId="0" xfId="0" applyNumberFormat="1" applyFont="1" applyFill="1" applyAlignment="1">
      <alignment horizontal="center" vertical="center"/>
    </xf>
    <xf numFmtId="0" fontId="15" fillId="0" borderId="0" xfId="0" applyFont="1" applyAlignment="1">
      <alignment horizontal="center" vertical="center" readingOrder="2"/>
    </xf>
    <xf numFmtId="0" fontId="16" fillId="0" borderId="0" xfId="3" applyFont="1" applyAlignment="1">
      <alignment horizontal="center" vertical="center" readingOrder="2"/>
    </xf>
    <xf numFmtId="0" fontId="17" fillId="0" borderId="0" xfId="3" applyFont="1" applyAlignment="1">
      <alignment horizontal="center" vertical="center" readingOrder="2"/>
    </xf>
    <xf numFmtId="0" fontId="3" fillId="0" borderId="0" xfId="0" applyFont="1"/>
    <xf numFmtId="10" fontId="3" fillId="0" borderId="0" xfId="2" applyNumberFormat="1" applyFont="1" applyFill="1" applyBorder="1" applyAlignment="1">
      <alignment horizontal="center" vertical="center" readingOrder="2"/>
    </xf>
    <xf numFmtId="3" fontId="0" fillId="0" borderId="0" xfId="0" applyNumberFormat="1"/>
  </cellXfs>
  <cellStyles count="6">
    <cellStyle name="Comma" xfId="1" builtinId="3"/>
    <cellStyle name="Hyperlink" xfId="3" builtinId="8"/>
    <cellStyle name="Normal" xfId="0" builtinId="0"/>
    <cellStyle name="Normal 2 2 3" xfId="5" xr:uid="{459647AF-5717-4FEE-BADE-5A3AA740BB8F}"/>
    <cellStyle name="Normal 5 2" xfId="4" xr:uid="{EC7126F9-FB84-45A3-8361-500425C4EF60}"/>
    <cellStyle name="Percent" xfId="2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scheme val="none"/>
      </font>
      <alignment horizontal="center" vertical="center" textRotation="0" wrapText="0" indent="0" justifyLastLine="0" shrinkToFit="0" readingOrder="2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D9A2B-97ED-466E-B980-A3343DA2DF3B}" name="Table2" displayName="Table2" ref="C3:F17" totalsRowShown="0" headerRowDxfId="5" dataDxfId="4">
  <autoFilter ref="C3:F17" xr:uid="{5D7D9A2B-97ED-466E-B980-A3343DA2DF3B}"/>
  <tableColumns count="4">
    <tableColumn id="1" xr3:uid="{4D7E55D4-F2C7-4D15-90AA-BF9139E1972C}" name="ردیف" dataDxfId="3"/>
    <tableColumn id="2" xr3:uid="{79E1692C-C1FF-488A-99D3-EB05C7D65F14}" name="مراجع" dataDxfId="2"/>
    <tableColumn id="3" xr3:uid="{E7B83A29-3959-48C2-8243-B38F6F3B1A1E}" name="لینک" dataDxfId="1"/>
    <tableColumn id="4" xr3:uid="{709333E0-8573-48D4-9B55-A59B4BC2CDB3}" name="لینک 2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Mahmood4">
      <a:dk1>
        <a:sysClr val="windowText" lastClr="000000"/>
      </a:dk1>
      <a:lt1>
        <a:sysClr val="window" lastClr="FFFFFF"/>
      </a:lt1>
      <a:dk2>
        <a:srgbClr val="0E2841"/>
      </a:dk2>
      <a:lt2>
        <a:srgbClr val="283618"/>
      </a:lt2>
      <a:accent1>
        <a:srgbClr val="FDF0D5"/>
      </a:accent1>
      <a:accent2>
        <a:srgbClr val="0090A5"/>
      </a:accent2>
      <a:accent3>
        <a:srgbClr val="008B8B"/>
      </a:accent3>
      <a:accent4>
        <a:srgbClr val="003153"/>
      </a:accent4>
      <a:accent5>
        <a:srgbClr val="C1121F"/>
      </a:accent5>
      <a:accent6>
        <a:srgbClr val="003300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se.ir/NewsTag.html?1341381540" TargetMode="External"/><Relationship Id="rId13" Type="http://schemas.openxmlformats.org/officeDocument/2006/relationships/hyperlink" Target="https://www.cbi.ir/PolicyRates/policyrates_fa.aspx" TargetMode="External"/><Relationship Id="rId3" Type="http://schemas.openxmlformats.org/officeDocument/2006/relationships/hyperlink" Target="https://www.cbi.ir/category/2693.aspx" TargetMode="External"/><Relationship Id="rId7" Type="http://schemas.openxmlformats.org/officeDocument/2006/relationships/hyperlink" Target="https://cbi.ir/category/EconomicTrends_fa.aspx" TargetMode="External"/><Relationship Id="rId12" Type="http://schemas.openxmlformats.org/officeDocument/2006/relationships/hyperlink" Target="https://fred.stlouisfed.org/series/CPIAUCSL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www.cbi.ir/category/2692.aspx" TargetMode="External"/><Relationship Id="rId16" Type="http://schemas.openxmlformats.org/officeDocument/2006/relationships/hyperlink" Target="https://www.seo.ir/Page/t-2Meh354OtktMlGjcIX7w==/%DA%AF%D8%B2%D8%A7%D8%B1%D8%B4--%D9%85%D8%A7%D9%87%D8%A7%D9%86%D9%87-%D8%B5%D9%86%D8%AF%D9%88%D9%82%D9%87%D8%A7%DB%8C--%D8%B3%D8%B1%D9%85%D8%A7%DB%8C%D9%87-%DA%AF%D8%B0%D8%A7%D8%B1%DB%8C" TargetMode="External"/><Relationship Id="rId1" Type="http://schemas.openxmlformats.org/officeDocument/2006/relationships/hyperlink" Target="https://www.cbi.ir/category/16994.aspx" TargetMode="External"/><Relationship Id="rId6" Type="http://schemas.openxmlformats.org/officeDocument/2006/relationships/hyperlink" Target="https://www.cbi.ir/category/21038.aspx" TargetMode="External"/><Relationship Id="rId11" Type="http://schemas.openxmlformats.org/officeDocument/2006/relationships/hyperlink" Target="https://www.amar.org.ir/%D9%BE%D8%A7%DB%8C%DA%AF%D8%A7%D9%87-%D9%87%D8%A7-%D9%88-%D8%B3%D8%A7%D9%85%D8%A7%D9%86%D9%87-%D9%87%D8%A7/%D8%B3%D8%B1%DB%8C%D9%87%D8%A7%DB%8C-%D8%B2%D9%85%D8%A7%D9%86%DB%8C/agentType/ViewType/PropertyTypeID/2033" TargetMode="External"/><Relationship Id="rId5" Type="http://schemas.openxmlformats.org/officeDocument/2006/relationships/hyperlink" Target="https://www.cbi.ir/datedlist/8256.aspx" TargetMode="External"/><Relationship Id="rId15" Type="http://schemas.openxmlformats.org/officeDocument/2006/relationships/hyperlink" Target="https://rdis.seo.ir/fa/category/list/21/" TargetMode="External"/><Relationship Id="rId10" Type="http://schemas.openxmlformats.org/officeDocument/2006/relationships/hyperlink" Target="https://www.amar.org.ir/%D8%AF%D8%A7%D8%AF%D9%87%D9%87%D8%A7-%D9%88-%D8%A7%D8%B7%D9%84%D8%A7%D8%B9%D8%A7%D8%AA-%D8%A2%D9%85%D8%A7%D8%B1%DB%8C/%D8%AD%D8%B3%D8%A7%D8%A8-%D9%87%D8%A7%DB%8C-%D9%85%D9%84%DB%8C-%D9%88-%D9%85%D9%86%D8%B7%D9%82%D9%87%D8%A7%DB%8C/%D8%AD%D8%B3%D8%A7%D8%A8%D9%87%D8%A7%DB%8C-%D9%85%D9%84%DB%8C" TargetMode="External"/><Relationship Id="rId4" Type="http://schemas.openxmlformats.org/officeDocument/2006/relationships/hyperlink" Target="https://www.cbi.ir/category/6068.aspx" TargetMode="External"/><Relationship Id="rId9" Type="http://schemas.openxmlformats.org/officeDocument/2006/relationships/hyperlink" Target="https://www.amar.org.ir/%D9%BE%D8%A7%DB%8C%DA%AF%D8%A7%D9%87-%D9%87%D8%A7-%D9%88-%D8%B3%D8%A7%D9%85%D8%A7%D9%86%D9%87-%D9%87%D8%A7/%D8%B3%D8%B1%DB%8C%D9%87%D8%A7%DB%8C-%D8%B2%D9%85%D8%A7%D9%86%DB%8C/agentType/ViewType/PropertyTypeID/2062/sortBy/cf1" TargetMode="External"/><Relationship Id="rId14" Type="http://schemas.openxmlformats.org/officeDocument/2006/relationships/hyperlink" Target="https://www.treasury.gov/resource-center/data-chart-center/interest-rates/pages/TextView.aspx?data=yield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097C-8ACF-481C-A0FF-48E841834C58}">
  <dimension ref="C3:F17"/>
  <sheetViews>
    <sheetView rightToLeft="1" workbookViewId="0">
      <selection activeCell="F11" sqref="F11"/>
    </sheetView>
  </sheetViews>
  <sheetFormatPr defaultRowHeight="14.25" x14ac:dyDescent="0.45"/>
  <cols>
    <col min="3" max="3" width="9.53125" bestFit="1" customWidth="1"/>
    <col min="4" max="4" width="45.1328125" bestFit="1" customWidth="1"/>
  </cols>
  <sheetData>
    <row r="3" spans="3:6" ht="18.399999999999999" x14ac:dyDescent="0.45">
      <c r="C3" s="33" t="s">
        <v>305</v>
      </c>
      <c r="D3" s="33" t="s">
        <v>306</v>
      </c>
      <c r="E3" s="33" t="s">
        <v>307</v>
      </c>
      <c r="F3" s="33" t="s">
        <v>308</v>
      </c>
    </row>
    <row r="4" spans="3:6" ht="18.399999999999999" x14ac:dyDescent="0.45">
      <c r="C4" s="33">
        <v>1</v>
      </c>
      <c r="D4" s="33" t="s">
        <v>309</v>
      </c>
      <c r="E4" s="54" t="s">
        <v>307</v>
      </c>
      <c r="F4" s="55"/>
    </row>
    <row r="5" spans="3:6" ht="18.399999999999999" x14ac:dyDescent="0.45">
      <c r="C5" s="33">
        <v>2</v>
      </c>
      <c r="D5" s="33" t="s">
        <v>310</v>
      </c>
      <c r="E5" s="54" t="s">
        <v>307</v>
      </c>
      <c r="F5" s="33"/>
    </row>
    <row r="6" spans="3:6" ht="18.399999999999999" x14ac:dyDescent="0.45">
      <c r="C6" s="33">
        <v>3</v>
      </c>
      <c r="D6" s="33" t="s">
        <v>311</v>
      </c>
      <c r="E6" s="54" t="s">
        <v>307</v>
      </c>
      <c r="F6" s="33"/>
    </row>
    <row r="7" spans="3:6" ht="18.399999999999999" x14ac:dyDescent="0.45">
      <c r="C7" s="33">
        <v>4</v>
      </c>
      <c r="D7" s="33" t="s">
        <v>312</v>
      </c>
      <c r="E7" s="54" t="s">
        <v>307</v>
      </c>
      <c r="F7" s="33"/>
    </row>
    <row r="8" spans="3:6" ht="18.399999999999999" x14ac:dyDescent="0.45">
      <c r="C8" s="33">
        <v>5</v>
      </c>
      <c r="D8" s="33" t="s">
        <v>313</v>
      </c>
      <c r="E8" s="54" t="s">
        <v>307</v>
      </c>
      <c r="F8" s="33"/>
    </row>
    <row r="9" spans="3:6" ht="18.399999999999999" x14ac:dyDescent="0.45">
      <c r="C9" s="33">
        <v>6</v>
      </c>
      <c r="D9" s="33" t="s">
        <v>314</v>
      </c>
      <c r="E9" s="54" t="s">
        <v>307</v>
      </c>
      <c r="F9" s="33"/>
    </row>
    <row r="10" spans="3:6" ht="18.399999999999999" x14ac:dyDescent="0.45">
      <c r="C10" s="33">
        <v>7</v>
      </c>
      <c r="D10" s="33" t="s">
        <v>315</v>
      </c>
      <c r="E10" s="54" t="s">
        <v>307</v>
      </c>
      <c r="F10" s="55" t="s">
        <v>308</v>
      </c>
    </row>
    <row r="11" spans="3:6" ht="18.399999999999999" x14ac:dyDescent="0.45">
      <c r="C11" s="33">
        <v>8</v>
      </c>
      <c r="D11" s="33" t="s">
        <v>316</v>
      </c>
      <c r="E11" s="54" t="s">
        <v>307</v>
      </c>
      <c r="F11" s="55" t="s">
        <v>308</v>
      </c>
    </row>
    <row r="12" spans="3:6" ht="18.399999999999999" x14ac:dyDescent="0.45">
      <c r="C12" s="33">
        <v>9</v>
      </c>
      <c r="D12" s="33" t="s">
        <v>317</v>
      </c>
      <c r="E12" s="55" t="s">
        <v>307</v>
      </c>
      <c r="F12" s="33"/>
    </row>
    <row r="13" spans="3:6" ht="18.399999999999999" x14ac:dyDescent="0.45">
      <c r="C13" s="33">
        <v>10</v>
      </c>
      <c r="D13" s="33" t="s">
        <v>318</v>
      </c>
      <c r="E13" s="55" t="s">
        <v>307</v>
      </c>
      <c r="F13" s="33"/>
    </row>
    <row r="14" spans="3:6" ht="18.399999999999999" x14ac:dyDescent="0.45">
      <c r="C14" s="33">
        <v>11</v>
      </c>
      <c r="D14" s="33" t="s">
        <v>319</v>
      </c>
      <c r="E14" s="55" t="s">
        <v>307</v>
      </c>
      <c r="F14" s="33"/>
    </row>
    <row r="15" spans="3:6" ht="18.399999999999999" x14ac:dyDescent="0.45">
      <c r="C15" s="33">
        <v>12</v>
      </c>
      <c r="D15" s="33" t="s">
        <v>320</v>
      </c>
      <c r="E15" s="55" t="s">
        <v>307</v>
      </c>
      <c r="F15" s="33"/>
    </row>
    <row r="16" spans="3:6" ht="18.399999999999999" x14ac:dyDescent="0.45">
      <c r="C16" s="33">
        <v>13</v>
      </c>
      <c r="D16" s="33" t="s">
        <v>321</v>
      </c>
      <c r="E16" s="55" t="s">
        <v>307</v>
      </c>
      <c r="F16" s="33"/>
    </row>
    <row r="17" spans="3:6" ht="18.399999999999999" x14ac:dyDescent="0.45">
      <c r="C17" s="53">
        <v>14</v>
      </c>
      <c r="D17" s="53" t="s">
        <v>353</v>
      </c>
      <c r="E17" s="55" t="s">
        <v>307</v>
      </c>
      <c r="F17" s="33"/>
    </row>
  </sheetData>
  <hyperlinks>
    <hyperlink ref="E8" r:id="rId1" xr:uid="{47F72F3B-B0FD-4C5B-A43C-11C1EF56C8EA}"/>
    <hyperlink ref="E6" r:id="rId2" xr:uid="{8C4888BF-825E-4E79-9C92-F2FA76F3178D}"/>
    <hyperlink ref="E7" r:id="rId3" xr:uid="{9F4BC849-BD48-4CE3-B983-16AEB0DB2307}"/>
    <hyperlink ref="E5" r:id="rId4" xr:uid="{E037EA03-C114-4B6D-B295-3454BACA5846}"/>
    <hyperlink ref="E10" r:id="rId5" xr:uid="{227018D0-B8B4-4A91-9D64-C73E42E2213C}"/>
    <hyperlink ref="E9" r:id="rId6" xr:uid="{C68BBF5B-E60A-465A-8F54-D52A1124B30D}"/>
    <hyperlink ref="E4" r:id="rId7" xr:uid="{7BFBDB19-BADF-40FB-80DD-D90BBA249246}"/>
    <hyperlink ref="E11" r:id="rId8" xr:uid="{0FBB1E6A-5306-46AF-A2A3-D3F5F32EB7AA}"/>
    <hyperlink ref="E12" r:id="rId9" xr:uid="{C371E794-1BCA-4DF1-8238-5ED89010ADBD}"/>
    <hyperlink ref="E13" r:id="rId10" location="5603751--" xr:uid="{359179DF-D6B5-488D-BEDF-7B4647E6358D}"/>
    <hyperlink ref="E14" r:id="rId11" xr:uid="{517780CC-062C-4D98-A080-14E81919FFF3}"/>
    <hyperlink ref="E15" r:id="rId12" xr:uid="{C17AA31D-3C63-4DD8-9E78-7335311E2104}"/>
    <hyperlink ref="F10" r:id="rId13" xr:uid="{156FF4A0-DC6C-40B6-840B-054724CE2169}"/>
    <hyperlink ref="E16" r:id="rId14" xr:uid="{270D498D-A9C0-4904-BBC6-260E72755193}"/>
    <hyperlink ref="F11" r:id="rId15" xr:uid="{600CA903-A6D1-4831-BA7F-B71DD1CB3122}"/>
    <hyperlink ref="E17" r:id="rId16" xr:uid="{D943BEEC-FCF1-46EC-84FB-01B41787752F}"/>
  </hyperlinks>
  <pageMargins left="0.7" right="0.7" top="0.75" bottom="0.75" header="0.3" footer="0.3"/>
  <tableParts count="1"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69E42-2626-4997-A284-3187F0108015}">
  <dimension ref="A1:L313"/>
  <sheetViews>
    <sheetView rightToLeft="1" zoomScale="145" zoomScaleNormal="145" workbookViewId="0">
      <pane xSplit="3" ySplit="1" topLeftCell="D289" activePane="bottomRight" state="frozen"/>
      <selection pane="topRight" activeCell="D1" sqref="D1"/>
      <selection pane="bottomLeft" activeCell="A3" sqref="A3"/>
      <selection pane="bottomRight" activeCell="H305" sqref="H305"/>
    </sheetView>
  </sheetViews>
  <sheetFormatPr defaultRowHeight="14.25" x14ac:dyDescent="0.45"/>
  <cols>
    <col min="1" max="2" width="9.46484375" customWidth="1"/>
    <col min="3" max="3" width="12.46484375" bestFit="1" customWidth="1"/>
    <col min="4" max="4" width="13.265625" customWidth="1"/>
    <col min="5" max="5" width="12.86328125" customWidth="1"/>
    <col min="6" max="6" width="11.796875" bestFit="1" customWidth="1"/>
    <col min="7" max="7" width="14.3984375" customWidth="1"/>
    <col min="8" max="8" width="15.6640625" customWidth="1"/>
    <col min="9" max="9" width="21.265625" customWidth="1"/>
    <col min="10" max="10" width="16.3984375" customWidth="1"/>
    <col min="11" max="11" width="22.33203125" customWidth="1"/>
    <col min="12" max="12" width="22.19921875" customWidth="1"/>
  </cols>
  <sheetData>
    <row r="1" spans="1:12" ht="30.4" thickBot="1" x14ac:dyDescent="0.5">
      <c r="A1" s="37" t="s">
        <v>349</v>
      </c>
      <c r="B1" s="37" t="s">
        <v>350</v>
      </c>
      <c r="C1" s="37" t="s">
        <v>351</v>
      </c>
      <c r="D1" s="37" t="s">
        <v>333</v>
      </c>
      <c r="E1" s="38" t="s">
        <v>334</v>
      </c>
      <c r="F1" s="39" t="s">
        <v>335</v>
      </c>
      <c r="G1" s="38" t="s">
        <v>336</v>
      </c>
      <c r="H1" s="39" t="s">
        <v>337</v>
      </c>
      <c r="I1" s="38" t="s">
        <v>338</v>
      </c>
      <c r="J1" s="38" t="s">
        <v>339</v>
      </c>
      <c r="K1" s="40" t="s">
        <v>340</v>
      </c>
      <c r="L1" s="38" t="s">
        <v>341</v>
      </c>
    </row>
    <row r="2" spans="1:12" ht="18.399999999999999" x14ac:dyDescent="0.45">
      <c r="A2" s="1">
        <v>1380</v>
      </c>
      <c r="B2" s="1" t="s">
        <v>288</v>
      </c>
      <c r="C2" s="2" t="s">
        <v>0</v>
      </c>
      <c r="D2" s="2"/>
      <c r="E2" s="4">
        <v>8.26</v>
      </c>
      <c r="F2" s="4">
        <v>10.790000000000001</v>
      </c>
      <c r="G2" s="4">
        <v>14.02</v>
      </c>
      <c r="H2" s="4">
        <v>24.81</v>
      </c>
      <c r="I2" s="4">
        <v>6.09</v>
      </c>
      <c r="J2" s="4">
        <v>0.55999999999999994</v>
      </c>
      <c r="K2" s="6">
        <v>2.29</v>
      </c>
      <c r="L2" s="4">
        <v>0.82999999999999985</v>
      </c>
    </row>
    <row r="3" spans="1:12" ht="18.399999999999999" x14ac:dyDescent="0.45">
      <c r="A3" s="1">
        <v>1380</v>
      </c>
      <c r="B3" s="1" t="s">
        <v>289</v>
      </c>
      <c r="C3" s="2" t="s">
        <v>1</v>
      </c>
      <c r="D3" s="2"/>
      <c r="E3" s="4">
        <v>8.4599999999999991</v>
      </c>
      <c r="F3" s="4">
        <v>11.16</v>
      </c>
      <c r="G3" s="4">
        <v>14.52</v>
      </c>
      <c r="H3" s="4">
        <v>25.68</v>
      </c>
      <c r="I3" s="4">
        <v>6.09</v>
      </c>
      <c r="J3" s="4">
        <v>0.57999999999999996</v>
      </c>
      <c r="K3" s="6">
        <v>2.5200000000000005</v>
      </c>
      <c r="L3" s="4">
        <v>1.01</v>
      </c>
    </row>
    <row r="4" spans="1:12" ht="18.399999999999999" x14ac:dyDescent="0.45">
      <c r="A4" s="1">
        <v>1380</v>
      </c>
      <c r="B4" s="1" t="s">
        <v>290</v>
      </c>
      <c r="C4" s="2" t="s">
        <v>2</v>
      </c>
      <c r="D4" s="2"/>
      <c r="E4" s="4">
        <v>8.49</v>
      </c>
      <c r="F4" s="4">
        <v>11.49</v>
      </c>
      <c r="G4" s="4">
        <v>14.790000000000001</v>
      </c>
      <c r="H4" s="4">
        <v>26.28</v>
      </c>
      <c r="I4" s="4">
        <v>6.12</v>
      </c>
      <c r="J4" s="4">
        <v>0.63</v>
      </c>
      <c r="K4" s="6">
        <v>2.27</v>
      </c>
      <c r="L4" s="4">
        <v>1.1099999999999999</v>
      </c>
    </row>
    <row r="5" spans="1:12" ht="18.399999999999999" x14ac:dyDescent="0.45">
      <c r="A5" s="1">
        <v>1380</v>
      </c>
      <c r="B5" s="1" t="s">
        <v>291</v>
      </c>
      <c r="C5" s="2" t="s">
        <v>3</v>
      </c>
      <c r="D5" s="2"/>
      <c r="E5" s="4">
        <v>7.7</v>
      </c>
      <c r="F5" s="4">
        <v>11.72</v>
      </c>
      <c r="G5" s="4">
        <v>15.13</v>
      </c>
      <c r="H5" s="4">
        <v>26.85</v>
      </c>
      <c r="I5" s="4">
        <v>6.63</v>
      </c>
      <c r="J5" s="4">
        <v>0.67</v>
      </c>
      <c r="K5" s="6">
        <v>2.5100000000000002</v>
      </c>
      <c r="L5" s="4">
        <v>1.2200000000000002</v>
      </c>
    </row>
    <row r="6" spans="1:12" ht="18.399999999999999" x14ac:dyDescent="0.45">
      <c r="A6" s="1">
        <v>1380</v>
      </c>
      <c r="B6" s="1" t="s">
        <v>292</v>
      </c>
      <c r="C6" s="2" t="s">
        <v>4</v>
      </c>
      <c r="D6" s="2"/>
      <c r="E6" s="4">
        <v>8.15</v>
      </c>
      <c r="F6" s="4">
        <v>11.870000000000001</v>
      </c>
      <c r="G6" s="4">
        <v>15.459999999999999</v>
      </c>
      <c r="H6" s="4">
        <v>27.330000000000002</v>
      </c>
      <c r="I6" s="4">
        <v>6.5400000000000009</v>
      </c>
      <c r="J6" s="4">
        <v>0.78</v>
      </c>
      <c r="K6" s="6">
        <v>2.29</v>
      </c>
      <c r="L6" s="4">
        <v>1.4200000000000002</v>
      </c>
    </row>
    <row r="7" spans="1:12" ht="18.399999999999999" x14ac:dyDescent="0.45">
      <c r="A7" s="1">
        <v>1380</v>
      </c>
      <c r="B7" s="1" t="s">
        <v>293</v>
      </c>
      <c r="C7" s="2" t="s">
        <v>5</v>
      </c>
      <c r="D7" s="2"/>
      <c r="E7" s="4">
        <v>8.18</v>
      </c>
      <c r="F7" s="4">
        <v>12.35</v>
      </c>
      <c r="G7" s="4">
        <v>15.690000000000001</v>
      </c>
      <c r="H7" s="4">
        <v>28.05</v>
      </c>
      <c r="I7" s="4">
        <v>6.4799999999999995</v>
      </c>
      <c r="J7" s="4">
        <v>0.8</v>
      </c>
      <c r="K7" s="6">
        <v>1.64</v>
      </c>
      <c r="L7" s="4">
        <v>1.3199999999999998</v>
      </c>
    </row>
    <row r="8" spans="1:12" ht="18.399999999999999" x14ac:dyDescent="0.45">
      <c r="A8" s="1">
        <v>1380</v>
      </c>
      <c r="B8" s="1" t="s">
        <v>294</v>
      </c>
      <c r="C8" s="2" t="s">
        <v>6</v>
      </c>
      <c r="D8" s="2"/>
      <c r="E8" s="4">
        <v>8.2200000000000006</v>
      </c>
      <c r="F8" s="4">
        <v>12.24</v>
      </c>
      <c r="G8" s="4">
        <v>16.119999999999997</v>
      </c>
      <c r="H8" s="4">
        <v>28.369999999999997</v>
      </c>
      <c r="I8" s="4">
        <v>6.4</v>
      </c>
      <c r="J8" s="4">
        <v>0.82</v>
      </c>
      <c r="K8" s="6">
        <v>1.7900000000000003</v>
      </c>
      <c r="L8" s="4">
        <v>1.3</v>
      </c>
    </row>
    <row r="9" spans="1:12" ht="18.399999999999999" x14ac:dyDescent="0.45">
      <c r="A9" s="1">
        <v>1380</v>
      </c>
      <c r="B9" s="1" t="s">
        <v>295</v>
      </c>
      <c r="C9" s="2" t="s">
        <v>7</v>
      </c>
      <c r="D9" s="2"/>
      <c r="E9" s="4">
        <v>8.1</v>
      </c>
      <c r="F9" s="4">
        <v>12.34</v>
      </c>
      <c r="G9" s="4">
        <v>16.43</v>
      </c>
      <c r="H9" s="4">
        <v>28.77</v>
      </c>
      <c r="I9" s="4">
        <v>6.4</v>
      </c>
      <c r="J9" s="4">
        <v>0.79</v>
      </c>
      <c r="K9" s="6">
        <v>1.56</v>
      </c>
      <c r="L9" s="4">
        <v>1.6300000000000001</v>
      </c>
    </row>
    <row r="10" spans="1:12" ht="18.399999999999999" x14ac:dyDescent="0.45">
      <c r="A10" s="1">
        <v>1380</v>
      </c>
      <c r="B10" s="1" t="s">
        <v>296</v>
      </c>
      <c r="C10" s="2" t="s">
        <v>8</v>
      </c>
      <c r="D10" s="2"/>
      <c r="E10" s="4">
        <v>8.35</v>
      </c>
      <c r="F10" s="4">
        <v>12.78</v>
      </c>
      <c r="G10" s="4">
        <v>16.940000000000001</v>
      </c>
      <c r="H10" s="4">
        <v>29.72</v>
      </c>
      <c r="I10" s="4">
        <v>6.4700000000000006</v>
      </c>
      <c r="J10" s="4">
        <v>0.80999999999999994</v>
      </c>
      <c r="K10" s="6">
        <v>1.9300000000000002</v>
      </c>
      <c r="L10" s="4">
        <v>1.47</v>
      </c>
    </row>
    <row r="11" spans="1:12" ht="18.399999999999999" x14ac:dyDescent="0.45">
      <c r="A11" s="1">
        <v>1380</v>
      </c>
      <c r="B11" s="1" t="s">
        <v>297</v>
      </c>
      <c r="C11" s="2" t="s">
        <v>9</v>
      </c>
      <c r="D11" s="2"/>
      <c r="E11" s="4">
        <v>8.4499999999999993</v>
      </c>
      <c r="F11" s="4">
        <v>13.059999999999999</v>
      </c>
      <c r="G11" s="4">
        <v>17.21</v>
      </c>
      <c r="H11" s="4">
        <v>30.27</v>
      </c>
      <c r="I11" s="4">
        <v>6.39</v>
      </c>
      <c r="J11" s="4">
        <v>0.79</v>
      </c>
      <c r="K11" s="6">
        <v>1.6800000000000002</v>
      </c>
      <c r="L11" s="4">
        <v>1.54</v>
      </c>
    </row>
    <row r="12" spans="1:12" ht="18.399999999999999" x14ac:dyDescent="0.45">
      <c r="A12" s="1">
        <v>1380</v>
      </c>
      <c r="B12" s="1" t="s">
        <v>298</v>
      </c>
      <c r="C12" s="2" t="s">
        <v>10</v>
      </c>
      <c r="D12" s="2"/>
      <c r="E12" s="4">
        <v>8.5500000000000007</v>
      </c>
      <c r="F12" s="4">
        <v>13.27</v>
      </c>
      <c r="G12" s="4">
        <v>17.350000000000001</v>
      </c>
      <c r="H12" s="4">
        <v>30.630000000000003</v>
      </c>
      <c r="I12" s="4">
        <v>6.4700000000000006</v>
      </c>
      <c r="J12" s="4">
        <v>0.72</v>
      </c>
      <c r="K12" s="6">
        <v>1.1199999999999999</v>
      </c>
      <c r="L12" s="4">
        <v>0.9</v>
      </c>
    </row>
    <row r="13" spans="1:12" ht="18.399999999999999" x14ac:dyDescent="0.45">
      <c r="A13" s="1">
        <v>1380</v>
      </c>
      <c r="B13" s="1" t="s">
        <v>299</v>
      </c>
      <c r="C13" s="2" t="s">
        <v>11</v>
      </c>
      <c r="D13" s="2"/>
      <c r="E13" s="4">
        <v>9.41</v>
      </c>
      <c r="F13" s="4">
        <v>14.3</v>
      </c>
      <c r="G13" s="4">
        <v>17.8</v>
      </c>
      <c r="H13" s="4">
        <v>32.1</v>
      </c>
      <c r="I13" s="4">
        <v>6.1</v>
      </c>
      <c r="J13" s="4">
        <v>0.76</v>
      </c>
      <c r="K13" s="6">
        <v>1.58</v>
      </c>
      <c r="L13" s="4">
        <v>1.1000000000000001</v>
      </c>
    </row>
    <row r="14" spans="1:12" ht="18.399999999999999" x14ac:dyDescent="0.45">
      <c r="A14" s="1">
        <v>1381</v>
      </c>
      <c r="B14" s="1" t="s">
        <v>288</v>
      </c>
      <c r="C14" s="2" t="s">
        <v>12</v>
      </c>
      <c r="D14" s="5">
        <v>7990</v>
      </c>
      <c r="E14" s="4">
        <v>9.51</v>
      </c>
      <c r="F14" s="4">
        <v>13.52</v>
      </c>
      <c r="G14" s="4">
        <v>18.759999999999998</v>
      </c>
      <c r="H14" s="4">
        <v>32.269999999999996</v>
      </c>
      <c r="I14" s="4">
        <v>6.2200000000000006</v>
      </c>
      <c r="J14" s="4">
        <v>0.84000000000000008</v>
      </c>
      <c r="K14" s="6">
        <v>2.7299999999999995</v>
      </c>
      <c r="L14" s="4">
        <v>5.74</v>
      </c>
    </row>
    <row r="15" spans="1:12" ht="18.399999999999999" x14ac:dyDescent="0.45">
      <c r="A15" s="1">
        <v>1381</v>
      </c>
      <c r="B15" s="1" t="s">
        <v>289</v>
      </c>
      <c r="C15" s="2" t="s">
        <v>13</v>
      </c>
      <c r="D15" s="5">
        <v>7991</v>
      </c>
      <c r="E15" s="4">
        <v>9.67</v>
      </c>
      <c r="F15" s="4">
        <v>13.91</v>
      </c>
      <c r="G15" s="4">
        <v>19.32</v>
      </c>
      <c r="H15" s="4">
        <v>33.33</v>
      </c>
      <c r="I15" s="4">
        <v>6.6</v>
      </c>
      <c r="J15" s="4">
        <v>0.89</v>
      </c>
      <c r="K15" s="6">
        <v>1.19</v>
      </c>
      <c r="L15" s="4">
        <v>6</v>
      </c>
    </row>
    <row r="16" spans="1:12" ht="18.399999999999999" x14ac:dyDescent="0.45">
      <c r="A16" s="1">
        <v>1381</v>
      </c>
      <c r="B16" s="1" t="s">
        <v>290</v>
      </c>
      <c r="C16" s="2" t="s">
        <v>14</v>
      </c>
      <c r="D16" s="5">
        <v>8002</v>
      </c>
      <c r="E16" s="4">
        <v>9.7099999999999991</v>
      </c>
      <c r="F16" s="4">
        <v>14.1</v>
      </c>
      <c r="G16" s="4">
        <v>19.84</v>
      </c>
      <c r="H16" s="4">
        <v>33.93</v>
      </c>
      <c r="I16" s="4">
        <v>6.94</v>
      </c>
      <c r="J16" s="4">
        <v>0.86999999999999988</v>
      </c>
      <c r="K16" s="6">
        <v>1.04</v>
      </c>
      <c r="L16" s="4">
        <v>6.14</v>
      </c>
    </row>
    <row r="17" spans="1:12" ht="18.399999999999999" x14ac:dyDescent="0.45">
      <c r="A17" s="1">
        <v>1381</v>
      </c>
      <c r="B17" s="1" t="s">
        <v>291</v>
      </c>
      <c r="C17" s="2" t="s">
        <v>15</v>
      </c>
      <c r="D17" s="5">
        <v>7997.52</v>
      </c>
      <c r="E17" s="4">
        <v>10.39</v>
      </c>
      <c r="F17" s="4">
        <v>14.580000000000002</v>
      </c>
      <c r="G17" s="4">
        <v>20.419999999999998</v>
      </c>
      <c r="H17" s="4">
        <v>35.010000000000005</v>
      </c>
      <c r="I17" s="4">
        <v>6.85</v>
      </c>
      <c r="J17" s="4">
        <v>0.97</v>
      </c>
      <c r="K17" s="6">
        <v>1.05</v>
      </c>
      <c r="L17" s="4">
        <v>6.4300000000000015</v>
      </c>
    </row>
    <row r="18" spans="1:12" ht="18.399999999999999" x14ac:dyDescent="0.45">
      <c r="A18" s="1">
        <v>1381</v>
      </c>
      <c r="B18" s="1" t="s">
        <v>292</v>
      </c>
      <c r="C18" s="2" t="s">
        <v>16</v>
      </c>
      <c r="D18" s="5">
        <v>7999.88</v>
      </c>
      <c r="E18" s="4">
        <v>10.58</v>
      </c>
      <c r="F18" s="4">
        <v>14.969999999999999</v>
      </c>
      <c r="G18" s="4">
        <v>20.81</v>
      </c>
      <c r="H18" s="4">
        <v>35.78</v>
      </c>
      <c r="I18" s="4">
        <v>7.0400000000000009</v>
      </c>
      <c r="J18" s="4">
        <v>1.1099999999999999</v>
      </c>
      <c r="K18" s="6">
        <v>0.9</v>
      </c>
      <c r="L18" s="4">
        <v>7.3</v>
      </c>
    </row>
    <row r="19" spans="1:12" ht="18.399999999999999" x14ac:dyDescent="0.45">
      <c r="A19" s="1">
        <v>1381</v>
      </c>
      <c r="B19" s="1" t="s">
        <v>293</v>
      </c>
      <c r="C19" s="2" t="s">
        <v>17</v>
      </c>
      <c r="D19" s="5">
        <v>8015.38</v>
      </c>
      <c r="E19" s="4">
        <v>11.059999999999999</v>
      </c>
      <c r="F19" s="4">
        <v>15.3</v>
      </c>
      <c r="G19" s="4">
        <v>21.16</v>
      </c>
      <c r="H19" s="4">
        <v>36.46</v>
      </c>
      <c r="I19" s="4">
        <v>7.58</v>
      </c>
      <c r="J19" s="4">
        <v>1.1800000000000002</v>
      </c>
      <c r="K19" s="6">
        <v>1.28</v>
      </c>
      <c r="L19" s="4">
        <v>7.5200000000000005</v>
      </c>
    </row>
    <row r="20" spans="1:12" ht="18.399999999999999" x14ac:dyDescent="0.45">
      <c r="A20" s="1">
        <v>1381</v>
      </c>
      <c r="B20" s="1" t="s">
        <v>294</v>
      </c>
      <c r="C20" s="2" t="s">
        <v>18</v>
      </c>
      <c r="D20" s="5">
        <v>8013.29</v>
      </c>
      <c r="E20" s="4">
        <v>10.85</v>
      </c>
      <c r="F20" s="4">
        <v>15.459999999999999</v>
      </c>
      <c r="G20" s="4">
        <v>21.53</v>
      </c>
      <c r="H20" s="4">
        <v>36.989999999999995</v>
      </c>
      <c r="I20" s="4">
        <v>7.88</v>
      </c>
      <c r="J20" s="4">
        <v>1.28</v>
      </c>
      <c r="K20" s="6">
        <v>1.9</v>
      </c>
      <c r="L20" s="4">
        <v>7.2699999999999987</v>
      </c>
    </row>
    <row r="21" spans="1:12" ht="18.399999999999999" x14ac:dyDescent="0.45">
      <c r="A21" s="1">
        <v>1381</v>
      </c>
      <c r="B21" s="1" t="s">
        <v>295</v>
      </c>
      <c r="C21" s="2" t="s">
        <v>19</v>
      </c>
      <c r="D21" s="5">
        <v>8021.23</v>
      </c>
      <c r="E21" s="4">
        <v>10.66</v>
      </c>
      <c r="F21" s="4">
        <v>15.780000000000001</v>
      </c>
      <c r="G21" s="4">
        <v>21.52</v>
      </c>
      <c r="H21" s="4">
        <v>37.299999999999997</v>
      </c>
      <c r="I21" s="4">
        <v>7.4099999999999993</v>
      </c>
      <c r="J21" s="4">
        <v>1.0900000000000001</v>
      </c>
      <c r="K21" s="6">
        <v>0.9</v>
      </c>
      <c r="L21" s="4">
        <v>7.5400000000000009</v>
      </c>
    </row>
    <row r="22" spans="1:12" ht="18.399999999999999" x14ac:dyDescent="0.45">
      <c r="A22" s="1">
        <v>1381</v>
      </c>
      <c r="B22" s="1" t="s">
        <v>296</v>
      </c>
      <c r="C22" s="2" t="s">
        <v>20</v>
      </c>
      <c r="D22" s="5">
        <v>8025.5</v>
      </c>
      <c r="E22" s="4">
        <v>10.61</v>
      </c>
      <c r="F22" s="4">
        <v>16.149999999999999</v>
      </c>
      <c r="G22" s="4">
        <v>22.06</v>
      </c>
      <c r="H22" s="4">
        <v>38.21</v>
      </c>
      <c r="I22" s="4">
        <v>10.17</v>
      </c>
      <c r="J22" s="4">
        <v>1.1099999999999999</v>
      </c>
      <c r="K22" s="6">
        <v>1.97</v>
      </c>
      <c r="L22" s="4">
        <v>6.0699999999999994</v>
      </c>
    </row>
    <row r="23" spans="1:12" ht="18.399999999999999" x14ac:dyDescent="0.45">
      <c r="A23" s="1">
        <v>1381</v>
      </c>
      <c r="B23" s="1" t="s">
        <v>297</v>
      </c>
      <c r="C23" s="2" t="s">
        <v>21</v>
      </c>
      <c r="D23" s="5">
        <v>8039.4</v>
      </c>
      <c r="E23" s="4">
        <v>10.82</v>
      </c>
      <c r="F23" s="4">
        <v>16.54</v>
      </c>
      <c r="G23" s="4">
        <v>22.46</v>
      </c>
      <c r="H23" s="4">
        <v>39</v>
      </c>
      <c r="I23" s="4">
        <v>10.17</v>
      </c>
      <c r="J23" s="4">
        <v>1.24</v>
      </c>
      <c r="K23" s="6">
        <v>2.33</v>
      </c>
      <c r="L23" s="4">
        <v>5.99</v>
      </c>
    </row>
    <row r="24" spans="1:12" ht="18.399999999999999" x14ac:dyDescent="0.45">
      <c r="A24" s="1">
        <v>1381</v>
      </c>
      <c r="B24" s="1" t="s">
        <v>298</v>
      </c>
      <c r="C24" s="2" t="s">
        <v>22</v>
      </c>
      <c r="D24" s="5">
        <v>8031.04</v>
      </c>
      <c r="E24" s="4">
        <v>10.57</v>
      </c>
      <c r="F24" s="4">
        <v>16.8</v>
      </c>
      <c r="G24" s="4">
        <v>22.869999999999997</v>
      </c>
      <c r="H24" s="4">
        <v>39.68</v>
      </c>
      <c r="I24" s="4">
        <v>10.190000000000001</v>
      </c>
      <c r="J24" s="4">
        <v>1.41</v>
      </c>
      <c r="K24" s="6">
        <v>2.15</v>
      </c>
      <c r="L24" s="4">
        <v>5.68</v>
      </c>
    </row>
    <row r="25" spans="1:12" ht="18.399999999999999" x14ac:dyDescent="0.45">
      <c r="A25" s="1">
        <v>1381</v>
      </c>
      <c r="B25" s="1" t="s">
        <v>299</v>
      </c>
      <c r="C25" s="2" t="s">
        <v>23</v>
      </c>
      <c r="D25" s="5">
        <v>8107.55</v>
      </c>
      <c r="E25" s="4">
        <v>11.72</v>
      </c>
      <c r="F25" s="4">
        <v>18.27</v>
      </c>
      <c r="G25" s="4">
        <v>23.490000000000002</v>
      </c>
      <c r="H25" s="4">
        <v>41.75</v>
      </c>
      <c r="I25" s="4">
        <v>10.95</v>
      </c>
      <c r="J25" s="4">
        <v>1.73</v>
      </c>
      <c r="K25" s="6">
        <v>2.67</v>
      </c>
      <c r="L25" s="4">
        <v>6.3199999999999994</v>
      </c>
    </row>
    <row r="26" spans="1:12" ht="18.399999999999999" x14ac:dyDescent="0.45">
      <c r="A26" s="1">
        <v>1382</v>
      </c>
      <c r="B26" s="1" t="s">
        <v>288</v>
      </c>
      <c r="C26" s="2" t="s">
        <v>24</v>
      </c>
      <c r="D26" s="5">
        <v>8184.5</v>
      </c>
      <c r="E26" s="4">
        <v>11.49</v>
      </c>
      <c r="F26" s="4">
        <v>16.84</v>
      </c>
      <c r="G26" s="4">
        <v>24.43</v>
      </c>
      <c r="H26" s="4">
        <v>41.269999999999996</v>
      </c>
      <c r="I26" s="4">
        <v>11.64</v>
      </c>
      <c r="J26" s="4">
        <v>1.75</v>
      </c>
      <c r="K26" s="6">
        <v>2.1100000000000003</v>
      </c>
      <c r="L26" s="4">
        <v>6.44</v>
      </c>
    </row>
    <row r="27" spans="1:12" ht="18.399999999999999" x14ac:dyDescent="0.45">
      <c r="A27" s="1">
        <v>1382</v>
      </c>
      <c r="B27" s="1" t="s">
        <v>289</v>
      </c>
      <c r="C27" s="2" t="s">
        <v>25</v>
      </c>
      <c r="D27" s="5">
        <v>8182.58</v>
      </c>
      <c r="E27" s="4">
        <v>11.2</v>
      </c>
      <c r="F27" s="4">
        <v>16.93</v>
      </c>
      <c r="G27" s="4">
        <v>24.77</v>
      </c>
      <c r="H27" s="4">
        <v>41.7</v>
      </c>
      <c r="I27" s="4">
        <v>11.7</v>
      </c>
      <c r="J27" s="4">
        <v>1.94</v>
      </c>
      <c r="K27" s="6">
        <v>2.1599999999999997</v>
      </c>
      <c r="L27" s="4">
        <v>7.0200000000000005</v>
      </c>
    </row>
    <row r="28" spans="1:12" ht="18.399999999999999" x14ac:dyDescent="0.45">
      <c r="A28" s="1">
        <v>1382</v>
      </c>
      <c r="B28" s="1" t="s">
        <v>290</v>
      </c>
      <c r="C28" s="2" t="s">
        <v>26</v>
      </c>
      <c r="D28" s="5">
        <v>8189.78</v>
      </c>
      <c r="E28" s="4">
        <v>11.07</v>
      </c>
      <c r="F28" s="4">
        <v>17.3</v>
      </c>
      <c r="G28" s="4">
        <v>25.4</v>
      </c>
      <c r="H28" s="4">
        <v>42.71</v>
      </c>
      <c r="I28" s="4">
        <v>11.67</v>
      </c>
      <c r="J28" s="4">
        <v>2.17</v>
      </c>
      <c r="K28" s="6">
        <v>1.98</v>
      </c>
      <c r="L28" s="4">
        <v>7.35</v>
      </c>
    </row>
    <row r="29" spans="1:12" ht="18.399999999999999" x14ac:dyDescent="0.45">
      <c r="A29" s="1">
        <v>1382</v>
      </c>
      <c r="B29" s="1" t="s">
        <v>291</v>
      </c>
      <c r="C29" s="2" t="s">
        <v>27</v>
      </c>
      <c r="D29" s="5">
        <v>8231.27</v>
      </c>
      <c r="E29" s="4">
        <v>11.809999999999999</v>
      </c>
      <c r="F29" s="4">
        <v>17.649999999999999</v>
      </c>
      <c r="G29" s="4">
        <v>26.21</v>
      </c>
      <c r="H29" s="4">
        <v>43.86</v>
      </c>
      <c r="I29" s="4">
        <v>11.16</v>
      </c>
      <c r="J29" s="4">
        <v>2.2399999999999998</v>
      </c>
      <c r="K29" s="6">
        <v>1.9899999999999998</v>
      </c>
      <c r="L29" s="4">
        <v>8.0299999999999994</v>
      </c>
    </row>
    <row r="30" spans="1:12" ht="18.399999999999999" x14ac:dyDescent="0.45">
      <c r="A30" s="1">
        <v>1382</v>
      </c>
      <c r="B30" s="1" t="s">
        <v>292</v>
      </c>
      <c r="C30" s="2" t="s">
        <v>28</v>
      </c>
      <c r="D30" s="5">
        <v>8313.9599999999991</v>
      </c>
      <c r="E30" s="4">
        <v>11.6</v>
      </c>
      <c r="F30" s="4">
        <v>18.259999999999998</v>
      </c>
      <c r="G30" s="4">
        <v>26.810000000000002</v>
      </c>
      <c r="H30" s="4">
        <v>45.07</v>
      </c>
      <c r="I30" s="4">
        <v>10.940000000000001</v>
      </c>
      <c r="J30" s="4">
        <v>2.27</v>
      </c>
      <c r="K30" s="6">
        <v>2.1</v>
      </c>
      <c r="L30" s="4">
        <v>7.7800000000000011</v>
      </c>
    </row>
    <row r="31" spans="1:12" ht="18.399999999999999" x14ac:dyDescent="0.45">
      <c r="A31" s="1">
        <v>1382</v>
      </c>
      <c r="B31" s="1" t="s">
        <v>293</v>
      </c>
      <c r="C31" s="2" t="s">
        <v>29</v>
      </c>
      <c r="D31" s="5">
        <v>8438.58</v>
      </c>
      <c r="E31" s="4">
        <v>11.540699999999999</v>
      </c>
      <c r="F31" s="4">
        <v>19.11</v>
      </c>
      <c r="G31" s="4">
        <v>27.27</v>
      </c>
      <c r="H31" s="4">
        <v>46.38</v>
      </c>
      <c r="I31" s="4">
        <v>11.11</v>
      </c>
      <c r="J31" s="4">
        <v>2.33</v>
      </c>
      <c r="K31" s="6">
        <v>2.3600000000000003</v>
      </c>
      <c r="L31" s="4">
        <v>6.92</v>
      </c>
    </row>
    <row r="32" spans="1:12" ht="18.399999999999999" x14ac:dyDescent="0.45">
      <c r="A32" s="1">
        <v>1382</v>
      </c>
      <c r="B32" s="1" t="s">
        <v>294</v>
      </c>
      <c r="C32" s="2" t="s">
        <v>30</v>
      </c>
      <c r="D32" s="5">
        <v>8395.65</v>
      </c>
      <c r="E32" s="4">
        <v>11.78</v>
      </c>
      <c r="F32" s="4">
        <v>18.8</v>
      </c>
      <c r="G32" s="4">
        <v>28</v>
      </c>
      <c r="H32" s="4">
        <v>46.79</v>
      </c>
      <c r="I32" s="4">
        <v>11.440000000000001</v>
      </c>
      <c r="J32" s="4">
        <v>2.27</v>
      </c>
      <c r="K32" s="6">
        <v>2.15</v>
      </c>
      <c r="L32" s="4">
        <v>7.9599999999999991</v>
      </c>
    </row>
    <row r="33" spans="1:12" ht="18.399999999999999" x14ac:dyDescent="0.45">
      <c r="A33" s="1">
        <v>1382</v>
      </c>
      <c r="B33" s="1" t="s">
        <v>295</v>
      </c>
      <c r="C33" s="2" t="s">
        <v>31</v>
      </c>
      <c r="D33" s="5">
        <v>8373.75</v>
      </c>
      <c r="E33" s="4">
        <v>12.059999999999999</v>
      </c>
      <c r="F33" s="4">
        <v>19.04</v>
      </c>
      <c r="G33" s="4">
        <v>28.79</v>
      </c>
      <c r="H33" s="4">
        <v>47.83</v>
      </c>
      <c r="I33" s="4">
        <v>11.2</v>
      </c>
      <c r="J33" s="4">
        <v>2.2800000000000002</v>
      </c>
      <c r="K33" s="6">
        <v>2.4300000000000002</v>
      </c>
      <c r="L33" s="4">
        <v>7.410000000000001</v>
      </c>
    </row>
    <row r="34" spans="1:12" ht="18.399999999999999" x14ac:dyDescent="0.45">
      <c r="A34" s="1">
        <v>1382</v>
      </c>
      <c r="B34" s="1" t="s">
        <v>296</v>
      </c>
      <c r="C34" s="2" t="s">
        <v>32</v>
      </c>
      <c r="D34" s="5">
        <v>8376.6299999999992</v>
      </c>
      <c r="E34" s="4">
        <v>12.08</v>
      </c>
      <c r="F34" s="4">
        <v>19.32</v>
      </c>
      <c r="G34" s="4">
        <v>29.310000000000002</v>
      </c>
      <c r="H34" s="4">
        <v>48.63</v>
      </c>
      <c r="I34" s="4">
        <v>11.129999999999999</v>
      </c>
      <c r="J34" s="4">
        <v>2.25</v>
      </c>
      <c r="K34" s="6">
        <v>2.8200000000000003</v>
      </c>
      <c r="L34" s="4">
        <v>7.2199999999999989</v>
      </c>
    </row>
    <row r="35" spans="1:12" ht="18.399999999999999" x14ac:dyDescent="0.45">
      <c r="A35" s="1">
        <v>1382</v>
      </c>
      <c r="B35" s="1" t="s">
        <v>297</v>
      </c>
      <c r="C35" s="2" t="s">
        <v>33</v>
      </c>
      <c r="D35" s="5">
        <v>8349.1200000000008</v>
      </c>
      <c r="E35" s="4">
        <v>12.08</v>
      </c>
      <c r="F35" s="4">
        <v>19.54</v>
      </c>
      <c r="G35" s="4">
        <v>30.04</v>
      </c>
      <c r="H35" s="4">
        <v>49.58</v>
      </c>
      <c r="I35" s="4">
        <v>11.18</v>
      </c>
      <c r="J35" s="4">
        <v>2.4699999999999998</v>
      </c>
      <c r="K35" s="6">
        <v>3.06</v>
      </c>
      <c r="L35" s="4">
        <v>6.9600000000000009</v>
      </c>
    </row>
    <row r="36" spans="1:12" ht="18.399999999999999" x14ac:dyDescent="0.45">
      <c r="A36" s="1">
        <v>1382</v>
      </c>
      <c r="B36" s="1" t="s">
        <v>298</v>
      </c>
      <c r="C36" s="2" t="s">
        <v>34</v>
      </c>
      <c r="D36" s="5">
        <v>8402.27</v>
      </c>
      <c r="E36" s="4">
        <v>12.39</v>
      </c>
      <c r="F36" s="4">
        <v>20.169999999999998</v>
      </c>
      <c r="G36" s="4">
        <v>30.77</v>
      </c>
      <c r="H36" s="4">
        <v>50.94</v>
      </c>
      <c r="I36" s="4">
        <v>11.379999999999999</v>
      </c>
      <c r="J36" s="4">
        <v>2.57</v>
      </c>
      <c r="K36" s="6">
        <v>2.56</v>
      </c>
      <c r="L36" s="4">
        <v>6.35</v>
      </c>
    </row>
    <row r="37" spans="1:12" ht="18.399999999999999" x14ac:dyDescent="0.45">
      <c r="A37" s="1">
        <v>1382</v>
      </c>
      <c r="B37" s="1" t="s">
        <v>299</v>
      </c>
      <c r="C37" s="2" t="s">
        <v>35</v>
      </c>
      <c r="D37" s="5">
        <v>8434.18</v>
      </c>
      <c r="E37" s="4">
        <v>13.309999999999999</v>
      </c>
      <c r="F37" s="4">
        <v>21.740000000000002</v>
      </c>
      <c r="G37" s="4">
        <v>30.919999999999998</v>
      </c>
      <c r="H37" s="4">
        <v>52.660000000000004</v>
      </c>
      <c r="I37" s="4">
        <v>11.48</v>
      </c>
      <c r="J37" s="4">
        <v>2.59</v>
      </c>
      <c r="K37" s="6">
        <v>2.85</v>
      </c>
      <c r="L37" s="4">
        <v>6.160000000000001</v>
      </c>
    </row>
    <row r="38" spans="1:12" ht="18.399999999999999" x14ac:dyDescent="0.45">
      <c r="A38" s="1">
        <v>1383</v>
      </c>
      <c r="B38" s="1" t="s">
        <v>288</v>
      </c>
      <c r="C38" s="2" t="s">
        <v>36</v>
      </c>
      <c r="D38" s="5">
        <v>8535.7900000000009</v>
      </c>
      <c r="E38" s="4">
        <v>12.99</v>
      </c>
      <c r="F38" s="4">
        <v>19.53</v>
      </c>
      <c r="G38" s="4">
        <v>31.96</v>
      </c>
      <c r="H38" s="4">
        <v>51.5</v>
      </c>
      <c r="I38" s="4">
        <v>11.91</v>
      </c>
      <c r="J38" s="4">
        <v>2.3199999999999998</v>
      </c>
      <c r="K38" s="6">
        <v>2.91</v>
      </c>
      <c r="L38" s="4">
        <v>5.68</v>
      </c>
    </row>
    <row r="39" spans="1:12" ht="18.399999999999999" x14ac:dyDescent="0.45">
      <c r="A39" s="1">
        <v>1383</v>
      </c>
      <c r="B39" s="1" t="s">
        <v>289</v>
      </c>
      <c r="C39" s="2" t="s">
        <v>37</v>
      </c>
      <c r="D39" s="5">
        <v>8588.6200000000008</v>
      </c>
      <c r="E39" s="4">
        <v>12.65</v>
      </c>
      <c r="F39" s="4">
        <v>20.02</v>
      </c>
      <c r="G39" s="4">
        <v>32.93</v>
      </c>
      <c r="H39" s="4">
        <v>52.95</v>
      </c>
      <c r="I39" s="4">
        <v>12.17</v>
      </c>
      <c r="J39" s="4">
        <v>2.4</v>
      </c>
      <c r="K39" s="6">
        <v>2.83</v>
      </c>
      <c r="L39" s="4">
        <v>6.19</v>
      </c>
    </row>
    <row r="40" spans="1:12" ht="18.399999999999999" x14ac:dyDescent="0.45">
      <c r="A40" s="1">
        <v>1383</v>
      </c>
      <c r="B40" s="1" t="s">
        <v>290</v>
      </c>
      <c r="C40" s="2" t="s">
        <v>38</v>
      </c>
      <c r="D40" s="5">
        <v>8619.92</v>
      </c>
      <c r="E40" s="4">
        <v>12.98</v>
      </c>
      <c r="F40" s="4">
        <v>20.94</v>
      </c>
      <c r="G40" s="4">
        <v>34.269999999999996</v>
      </c>
      <c r="H40" s="4">
        <v>55.21</v>
      </c>
      <c r="I40" s="4">
        <v>12.32</v>
      </c>
      <c r="J40" s="4">
        <v>2.48</v>
      </c>
      <c r="K40" s="6">
        <v>2.5100000000000002</v>
      </c>
      <c r="L40" s="4">
        <v>6.99</v>
      </c>
    </row>
    <row r="41" spans="1:12" ht="18.399999999999999" x14ac:dyDescent="0.45">
      <c r="A41" s="1">
        <v>1383</v>
      </c>
      <c r="B41" s="1" t="s">
        <v>291</v>
      </c>
      <c r="C41" s="2" t="s">
        <v>39</v>
      </c>
      <c r="D41" s="5">
        <v>8671.85</v>
      </c>
      <c r="E41" s="4">
        <v>13.8</v>
      </c>
      <c r="F41" s="4">
        <v>21.84</v>
      </c>
      <c r="G41" s="4">
        <v>35.33</v>
      </c>
      <c r="H41" s="4">
        <v>57.17</v>
      </c>
      <c r="I41" s="4">
        <v>11.74</v>
      </c>
      <c r="J41" s="4">
        <v>2.67</v>
      </c>
      <c r="K41" s="6">
        <v>3.25</v>
      </c>
      <c r="L41" s="4">
        <v>9.120000000000001</v>
      </c>
    </row>
    <row r="42" spans="1:12" ht="18.399999999999999" x14ac:dyDescent="0.45">
      <c r="A42" s="1">
        <v>1383</v>
      </c>
      <c r="B42" s="1" t="s">
        <v>292</v>
      </c>
      <c r="C42" s="2" t="s">
        <v>40</v>
      </c>
      <c r="D42" s="5">
        <v>8755.92</v>
      </c>
      <c r="E42" s="4">
        <v>13.51</v>
      </c>
      <c r="F42" s="4">
        <v>21.52</v>
      </c>
      <c r="G42" s="4">
        <v>36.69</v>
      </c>
      <c r="H42" s="4">
        <v>58.21</v>
      </c>
      <c r="I42" s="4">
        <v>11.23</v>
      </c>
      <c r="J42" s="4">
        <v>2.8</v>
      </c>
      <c r="K42" s="6">
        <v>2.88</v>
      </c>
      <c r="L42" s="4">
        <v>8.82</v>
      </c>
    </row>
    <row r="43" spans="1:12" ht="18.399999999999999" x14ac:dyDescent="0.45">
      <c r="A43" s="1">
        <v>1383</v>
      </c>
      <c r="B43" s="1" t="s">
        <v>293</v>
      </c>
      <c r="C43" s="2" t="s">
        <v>41</v>
      </c>
      <c r="D43" s="5">
        <v>8778.34</v>
      </c>
      <c r="E43" s="4">
        <v>13.940000000000001</v>
      </c>
      <c r="F43" s="4">
        <v>22.78</v>
      </c>
      <c r="G43" s="4">
        <v>37.450000000000003</v>
      </c>
      <c r="H43" s="4">
        <v>60.220000000000006</v>
      </c>
      <c r="I43" s="4">
        <v>11.26</v>
      </c>
      <c r="J43" s="4">
        <v>3</v>
      </c>
      <c r="K43" s="6">
        <v>3.16</v>
      </c>
      <c r="L43" s="4">
        <v>8.59</v>
      </c>
    </row>
    <row r="44" spans="1:12" ht="18.399999999999999" x14ac:dyDescent="0.45">
      <c r="A44" s="1">
        <v>1383</v>
      </c>
      <c r="B44" s="1" t="s">
        <v>294</v>
      </c>
      <c r="C44" s="2" t="s">
        <v>42</v>
      </c>
      <c r="D44" s="5">
        <v>8785</v>
      </c>
      <c r="E44" s="4">
        <v>13.6</v>
      </c>
      <c r="F44" s="4">
        <v>21.490000000000002</v>
      </c>
      <c r="G44" s="4">
        <v>38.86</v>
      </c>
      <c r="H44" s="4">
        <v>60.35</v>
      </c>
      <c r="I44" s="4">
        <v>11.209999999999999</v>
      </c>
      <c r="J44" s="4">
        <v>2.91</v>
      </c>
      <c r="K44" s="6">
        <v>3.55</v>
      </c>
      <c r="L44" s="4">
        <v>8.8199999999999985</v>
      </c>
    </row>
    <row r="45" spans="1:12" ht="18.399999999999999" x14ac:dyDescent="0.45">
      <c r="A45" s="1">
        <v>1383</v>
      </c>
      <c r="B45" s="1" t="s">
        <v>295</v>
      </c>
      <c r="C45" s="2" t="s">
        <v>43</v>
      </c>
      <c r="D45" s="5">
        <v>8797</v>
      </c>
      <c r="E45" s="4">
        <v>13.7</v>
      </c>
      <c r="F45" s="4">
        <v>21.81</v>
      </c>
      <c r="G45" s="4">
        <v>39.33</v>
      </c>
      <c r="H45" s="4">
        <v>61.14</v>
      </c>
      <c r="I45" s="4">
        <v>10.89</v>
      </c>
      <c r="J45" s="4">
        <v>2.9699999999999998</v>
      </c>
      <c r="K45" s="6">
        <v>3.5300000000000002</v>
      </c>
      <c r="L45" s="4">
        <v>20.260000000000002</v>
      </c>
    </row>
    <row r="46" spans="1:12" ht="18.399999999999999" x14ac:dyDescent="0.45">
      <c r="A46" s="1">
        <v>1383</v>
      </c>
      <c r="B46" s="1" t="s">
        <v>296</v>
      </c>
      <c r="C46" s="2" t="s">
        <v>44</v>
      </c>
      <c r="D46" s="5">
        <v>8816</v>
      </c>
      <c r="E46" s="4">
        <v>13.74</v>
      </c>
      <c r="F46" s="4">
        <v>22.2</v>
      </c>
      <c r="G46" s="4">
        <v>40.380000000000003</v>
      </c>
      <c r="H46" s="4">
        <v>62.58</v>
      </c>
      <c r="I46" s="4">
        <v>10.76</v>
      </c>
      <c r="J46" s="4">
        <v>3.1100000000000003</v>
      </c>
      <c r="K46" s="6">
        <v>3.55</v>
      </c>
      <c r="L46" s="4">
        <v>20.729999999999997</v>
      </c>
    </row>
    <row r="47" spans="1:12" ht="18.399999999999999" x14ac:dyDescent="0.45">
      <c r="A47" s="1">
        <v>1383</v>
      </c>
      <c r="B47" s="1" t="s">
        <v>297</v>
      </c>
      <c r="C47" s="2" t="s">
        <v>45</v>
      </c>
      <c r="D47" s="5">
        <v>8827</v>
      </c>
      <c r="E47" s="4">
        <v>13.819999999999999</v>
      </c>
      <c r="F47" s="4">
        <v>22.55</v>
      </c>
      <c r="G47" s="4">
        <v>41.14</v>
      </c>
      <c r="H47" s="4">
        <v>63.679999999999993</v>
      </c>
      <c r="I47" s="4">
        <v>11.03</v>
      </c>
      <c r="J47" s="4">
        <v>3.47</v>
      </c>
      <c r="K47" s="6">
        <v>4.3600000000000003</v>
      </c>
      <c r="L47" s="4">
        <v>4.1900000000000004</v>
      </c>
    </row>
    <row r="48" spans="1:12" ht="18.399999999999999" x14ac:dyDescent="0.45">
      <c r="A48" s="1">
        <v>1383</v>
      </c>
      <c r="B48" s="1" t="s">
        <v>298</v>
      </c>
      <c r="C48" s="2" t="s">
        <v>46</v>
      </c>
      <c r="D48" s="5">
        <v>8888</v>
      </c>
      <c r="E48" s="4">
        <v>14.02</v>
      </c>
      <c r="F48" s="4">
        <v>22.740000000000002</v>
      </c>
      <c r="G48" s="4">
        <v>41.839999999999996</v>
      </c>
      <c r="H48" s="4">
        <v>64.58</v>
      </c>
      <c r="I48" s="4">
        <v>10.940000000000001</v>
      </c>
      <c r="J48" s="4">
        <v>3.46</v>
      </c>
      <c r="K48" s="6">
        <v>4.8800000000000008</v>
      </c>
      <c r="L48" s="4">
        <v>20.169999999999998</v>
      </c>
    </row>
    <row r="49" spans="1:12" ht="18.399999999999999" x14ac:dyDescent="0.45">
      <c r="A49" s="1">
        <v>1383</v>
      </c>
      <c r="B49" s="1" t="s">
        <v>299</v>
      </c>
      <c r="C49" s="2" t="s">
        <v>47</v>
      </c>
      <c r="D49" s="5">
        <v>8882</v>
      </c>
      <c r="E49" s="4">
        <v>15.2</v>
      </c>
      <c r="F49" s="4">
        <v>25.259999999999998</v>
      </c>
      <c r="G49" s="4">
        <v>43.31</v>
      </c>
      <c r="H49" s="4">
        <v>68.570000000000007</v>
      </c>
      <c r="I49" s="4">
        <v>11.23</v>
      </c>
      <c r="J49" s="4">
        <v>3.6799999999999997</v>
      </c>
      <c r="K49" s="6">
        <v>2.16</v>
      </c>
      <c r="L49" s="4">
        <v>20.43</v>
      </c>
    </row>
    <row r="50" spans="1:12" ht="18.399999999999999" x14ac:dyDescent="0.45">
      <c r="A50" s="1">
        <v>1384</v>
      </c>
      <c r="B50" s="1" t="s">
        <v>288</v>
      </c>
      <c r="C50" s="2" t="s">
        <v>48</v>
      </c>
      <c r="D50" s="5">
        <v>8905</v>
      </c>
      <c r="E50" s="4">
        <v>14.59</v>
      </c>
      <c r="F50" s="4">
        <v>22.32</v>
      </c>
      <c r="G50" s="4">
        <v>44.69</v>
      </c>
      <c r="H50" s="4">
        <v>67.010000000000005</v>
      </c>
      <c r="I50" s="4">
        <v>11.27</v>
      </c>
      <c r="J50" s="4">
        <v>3.56</v>
      </c>
      <c r="K50" s="6">
        <v>3.25</v>
      </c>
      <c r="L50" s="4">
        <v>21.880000000000003</v>
      </c>
    </row>
    <row r="51" spans="1:12" ht="18.399999999999999" x14ac:dyDescent="0.45">
      <c r="A51" s="1">
        <v>1384</v>
      </c>
      <c r="B51" s="1" t="s">
        <v>289</v>
      </c>
      <c r="C51" s="2" t="s">
        <v>49</v>
      </c>
      <c r="D51" s="5">
        <v>8916</v>
      </c>
      <c r="E51" s="4">
        <v>14.59</v>
      </c>
      <c r="F51" s="4">
        <v>23.009999999999998</v>
      </c>
      <c r="G51" s="4">
        <v>45.22</v>
      </c>
      <c r="H51" s="4">
        <v>68.22</v>
      </c>
      <c r="I51" s="4">
        <v>11.290000000000001</v>
      </c>
      <c r="J51" s="4">
        <v>3.47</v>
      </c>
      <c r="K51" s="6">
        <v>2.7</v>
      </c>
      <c r="L51" s="4">
        <v>23.78</v>
      </c>
    </row>
    <row r="52" spans="1:12" ht="18.399999999999999" x14ac:dyDescent="0.45">
      <c r="A52" s="1">
        <v>1384</v>
      </c>
      <c r="B52" s="1" t="s">
        <v>290</v>
      </c>
      <c r="C52" s="2" t="s">
        <v>50</v>
      </c>
      <c r="D52" s="5">
        <v>8987</v>
      </c>
      <c r="E52" s="4">
        <v>15.1</v>
      </c>
      <c r="F52" s="4">
        <v>23.89</v>
      </c>
      <c r="G52" s="4">
        <v>46.55</v>
      </c>
      <c r="H52" s="4">
        <v>70.44</v>
      </c>
      <c r="I52" s="4">
        <v>11.440000000000001</v>
      </c>
      <c r="J52" s="4">
        <v>3.3899999999999997</v>
      </c>
      <c r="K52" s="6">
        <v>2.0100000000000002</v>
      </c>
      <c r="L52" s="4">
        <v>26</v>
      </c>
    </row>
    <row r="53" spans="1:12" ht="18.399999999999999" x14ac:dyDescent="0.45">
      <c r="A53" s="1">
        <v>1384</v>
      </c>
      <c r="B53" s="1" t="s">
        <v>291</v>
      </c>
      <c r="C53" s="2" t="s">
        <v>51</v>
      </c>
      <c r="D53" s="5">
        <v>9008</v>
      </c>
      <c r="E53" s="4">
        <v>15.74</v>
      </c>
      <c r="F53" s="4">
        <v>24.96</v>
      </c>
      <c r="G53" s="4">
        <v>48</v>
      </c>
      <c r="H53" s="4">
        <v>72.960000000000008</v>
      </c>
      <c r="I53" s="4">
        <v>11.49</v>
      </c>
      <c r="J53" s="4">
        <v>3.08</v>
      </c>
      <c r="K53" s="6">
        <v>2.16</v>
      </c>
      <c r="L53" s="4">
        <v>27.68</v>
      </c>
    </row>
    <row r="54" spans="1:12" ht="18.399999999999999" x14ac:dyDescent="0.45">
      <c r="A54" s="1">
        <v>1384</v>
      </c>
      <c r="B54" s="1" t="s">
        <v>292</v>
      </c>
      <c r="C54" s="2" t="s">
        <v>52</v>
      </c>
      <c r="D54" s="5">
        <v>9024</v>
      </c>
      <c r="E54" s="4">
        <v>16.740000000000002</v>
      </c>
      <c r="F54" s="4">
        <v>26.139999999999997</v>
      </c>
      <c r="G54" s="4">
        <v>50.57</v>
      </c>
      <c r="H54" s="4">
        <v>76.710000000000008</v>
      </c>
      <c r="I54" s="4">
        <v>11.55</v>
      </c>
      <c r="J54" s="4">
        <v>3.17</v>
      </c>
      <c r="K54" s="6">
        <v>2.2400000000000002</v>
      </c>
      <c r="L54" s="4">
        <v>29.05</v>
      </c>
    </row>
    <row r="55" spans="1:12" ht="18.399999999999999" x14ac:dyDescent="0.45">
      <c r="A55" s="1">
        <v>1384</v>
      </c>
      <c r="B55" s="1" t="s">
        <v>293</v>
      </c>
      <c r="C55" s="2" t="s">
        <v>53</v>
      </c>
      <c r="D55" s="5">
        <v>9034</v>
      </c>
      <c r="E55" s="4">
        <v>16.649999999999999</v>
      </c>
      <c r="F55" s="4">
        <v>26.25</v>
      </c>
      <c r="G55" s="4">
        <v>52.23</v>
      </c>
      <c r="H55" s="4">
        <v>78.47999999999999</v>
      </c>
      <c r="I55" s="4">
        <v>11.55</v>
      </c>
      <c r="J55" s="4">
        <v>2.9899999999999998</v>
      </c>
      <c r="K55" s="6">
        <v>2.35</v>
      </c>
      <c r="L55" s="4">
        <v>27.689999999999998</v>
      </c>
    </row>
    <row r="56" spans="1:12" ht="18.399999999999999" x14ac:dyDescent="0.45">
      <c r="A56" s="1">
        <v>1384</v>
      </c>
      <c r="B56" s="1" t="s">
        <v>294</v>
      </c>
      <c r="C56" s="2" t="s">
        <v>54</v>
      </c>
      <c r="D56" s="5">
        <v>9053</v>
      </c>
      <c r="E56" s="4">
        <v>16.61</v>
      </c>
      <c r="F56" s="4">
        <v>26.130000000000003</v>
      </c>
      <c r="G56" s="4">
        <v>53.86</v>
      </c>
      <c r="H56" s="4">
        <v>79.989999999999995</v>
      </c>
      <c r="I56" s="4">
        <v>10.370000000000001</v>
      </c>
      <c r="J56" s="4">
        <v>3.16</v>
      </c>
      <c r="K56" s="6">
        <v>2.35</v>
      </c>
      <c r="L56" s="4">
        <v>27.6</v>
      </c>
    </row>
    <row r="57" spans="1:12" ht="18.399999999999999" x14ac:dyDescent="0.45">
      <c r="A57" s="1">
        <v>1384</v>
      </c>
      <c r="B57" s="1" t="s">
        <v>295</v>
      </c>
      <c r="C57" s="2" t="s">
        <v>55</v>
      </c>
      <c r="D57" s="5">
        <v>9083</v>
      </c>
      <c r="E57" s="4">
        <v>16.630000000000003</v>
      </c>
      <c r="F57" s="4">
        <v>27.060000000000002</v>
      </c>
      <c r="G57" s="4">
        <v>54.839999999999996</v>
      </c>
      <c r="H57" s="4">
        <v>81.900000000000006</v>
      </c>
      <c r="I57" s="4">
        <v>10.290000000000001</v>
      </c>
      <c r="J57" s="4">
        <v>3.07</v>
      </c>
      <c r="K57" s="6">
        <v>2.8</v>
      </c>
      <c r="L57" s="4">
        <v>26.15</v>
      </c>
    </row>
    <row r="58" spans="1:12" ht="18.399999999999999" x14ac:dyDescent="0.45">
      <c r="A58" s="1">
        <v>1384</v>
      </c>
      <c r="B58" s="1" t="s">
        <v>296</v>
      </c>
      <c r="C58" s="2" t="s">
        <v>56</v>
      </c>
      <c r="D58" s="5">
        <v>9099</v>
      </c>
      <c r="E58" s="4">
        <v>16.759999999999998</v>
      </c>
      <c r="F58" s="4">
        <v>27.310000000000002</v>
      </c>
      <c r="G58" s="4">
        <v>55.910000000000004</v>
      </c>
      <c r="H58" s="4">
        <v>83.210000000000008</v>
      </c>
      <c r="I58" s="4">
        <v>10.34</v>
      </c>
      <c r="J58" s="4">
        <v>3.3600000000000003</v>
      </c>
      <c r="K58" s="6">
        <v>3.3</v>
      </c>
      <c r="L58" s="4">
        <v>25.35</v>
      </c>
    </row>
    <row r="59" spans="1:12" ht="18.399999999999999" x14ac:dyDescent="0.45">
      <c r="A59" s="1">
        <v>1384</v>
      </c>
      <c r="B59" s="1" t="s">
        <v>297</v>
      </c>
      <c r="C59" s="2" t="s">
        <v>57</v>
      </c>
      <c r="D59" s="5">
        <v>9106</v>
      </c>
      <c r="E59" s="4">
        <v>17.11</v>
      </c>
      <c r="F59" s="4">
        <v>27.610000000000003</v>
      </c>
      <c r="G59" s="4">
        <v>57.15</v>
      </c>
      <c r="H59" s="4">
        <v>84.76</v>
      </c>
      <c r="I59" s="4">
        <v>10.34</v>
      </c>
      <c r="J59" s="4">
        <v>3.3299999999999996</v>
      </c>
      <c r="K59" s="6">
        <v>3.2299999999999995</v>
      </c>
      <c r="L59" s="4">
        <v>24.610000000000003</v>
      </c>
    </row>
    <row r="60" spans="1:12" ht="18.399999999999999" x14ac:dyDescent="0.45">
      <c r="A60" s="1">
        <v>1384</v>
      </c>
      <c r="B60" s="1" t="s">
        <v>298</v>
      </c>
      <c r="C60" s="2" t="s">
        <v>58</v>
      </c>
      <c r="D60" s="5">
        <v>9134</v>
      </c>
      <c r="E60" s="4">
        <v>17.25</v>
      </c>
      <c r="F60" s="4">
        <v>27.85</v>
      </c>
      <c r="G60" s="4">
        <v>57.260000000000005</v>
      </c>
      <c r="H60" s="4">
        <v>85.11</v>
      </c>
      <c r="I60" s="4">
        <v>10.28</v>
      </c>
      <c r="J60" s="4">
        <v>3.4799999999999995</v>
      </c>
      <c r="K60" s="6">
        <v>3.9799999999999995</v>
      </c>
      <c r="L60" s="4">
        <v>28.910000000000004</v>
      </c>
    </row>
    <row r="61" spans="1:12" ht="18.399999999999999" x14ac:dyDescent="0.45">
      <c r="A61" s="1">
        <v>1384</v>
      </c>
      <c r="B61" s="1" t="s">
        <v>299</v>
      </c>
      <c r="C61" s="2" t="s">
        <v>59</v>
      </c>
      <c r="D61" s="5">
        <v>9152</v>
      </c>
      <c r="E61" s="4">
        <v>22.09</v>
      </c>
      <c r="F61" s="4">
        <v>31.79</v>
      </c>
      <c r="G61" s="4">
        <v>60.31</v>
      </c>
      <c r="H61" s="4">
        <v>92.1</v>
      </c>
      <c r="I61" s="4">
        <v>10.15</v>
      </c>
      <c r="J61" s="4">
        <v>3.45</v>
      </c>
      <c r="K61" s="6">
        <v>3.59</v>
      </c>
      <c r="L61" s="4">
        <v>32.76</v>
      </c>
    </row>
    <row r="62" spans="1:12" ht="18.399999999999999" x14ac:dyDescent="0.45">
      <c r="A62" s="1">
        <v>1385</v>
      </c>
      <c r="B62" s="1" t="s">
        <v>288</v>
      </c>
      <c r="C62" s="2" t="s">
        <v>60</v>
      </c>
      <c r="D62" s="5">
        <v>9163</v>
      </c>
      <c r="E62" s="4">
        <v>19.55</v>
      </c>
      <c r="F62" s="4">
        <v>29.410000000000004</v>
      </c>
      <c r="G62" s="4">
        <v>62.279999999999994</v>
      </c>
      <c r="H62" s="4">
        <v>91.7</v>
      </c>
      <c r="I62" s="4">
        <v>10.1</v>
      </c>
      <c r="J62" s="4">
        <v>3.41</v>
      </c>
      <c r="K62" s="6">
        <v>4.3600000000000003</v>
      </c>
      <c r="L62" s="4">
        <v>32.089999999999996</v>
      </c>
    </row>
    <row r="63" spans="1:12" ht="18.399999999999999" x14ac:dyDescent="0.45">
      <c r="A63" s="1">
        <v>1385</v>
      </c>
      <c r="B63" s="1" t="s">
        <v>289</v>
      </c>
      <c r="C63" s="2" t="s">
        <v>61</v>
      </c>
      <c r="D63" s="5">
        <v>9166</v>
      </c>
      <c r="E63" s="4">
        <v>19.79</v>
      </c>
      <c r="F63" s="4">
        <v>28.75</v>
      </c>
      <c r="G63" s="4">
        <v>63.35</v>
      </c>
      <c r="H63" s="4">
        <v>92.1</v>
      </c>
      <c r="I63" s="4">
        <v>10.26</v>
      </c>
      <c r="J63" s="4">
        <v>3.5</v>
      </c>
      <c r="K63" s="6">
        <v>4.2299999999999995</v>
      </c>
      <c r="L63" s="4">
        <v>32.089999999999996</v>
      </c>
    </row>
    <row r="64" spans="1:12" ht="18.399999999999999" x14ac:dyDescent="0.45">
      <c r="A64" s="1">
        <v>1385</v>
      </c>
      <c r="B64" s="1" t="s">
        <v>290</v>
      </c>
      <c r="C64" s="2" t="s">
        <v>62</v>
      </c>
      <c r="D64" s="5">
        <v>9174</v>
      </c>
      <c r="E64" s="4">
        <v>20.740000000000002</v>
      </c>
      <c r="F64" s="4">
        <v>31.04</v>
      </c>
      <c r="G64" s="4">
        <v>65.28</v>
      </c>
      <c r="H64" s="4">
        <v>96.11</v>
      </c>
      <c r="I64" s="4">
        <v>10.18</v>
      </c>
      <c r="J64" s="4">
        <v>3.47</v>
      </c>
      <c r="K64" s="6">
        <v>4.0900000000000007</v>
      </c>
      <c r="L64" s="4">
        <v>33.040000000000006</v>
      </c>
    </row>
    <row r="65" spans="1:12" ht="18.399999999999999" x14ac:dyDescent="0.45">
      <c r="A65" s="1">
        <v>1385</v>
      </c>
      <c r="B65" s="1" t="s">
        <v>291</v>
      </c>
      <c r="C65" s="2" t="s">
        <v>63</v>
      </c>
      <c r="D65" s="5">
        <v>9193</v>
      </c>
      <c r="E65" s="4">
        <v>22.3</v>
      </c>
      <c r="F65" s="4">
        <v>32.1</v>
      </c>
      <c r="G65" s="4">
        <v>67.34</v>
      </c>
      <c r="H65" s="4">
        <v>99.44</v>
      </c>
      <c r="I65" s="4">
        <v>10.28</v>
      </c>
      <c r="J65" s="4">
        <v>3.5200000000000005</v>
      </c>
      <c r="K65" s="6">
        <v>3.9400000000000004</v>
      </c>
      <c r="L65" s="4">
        <v>36.239999999999995</v>
      </c>
    </row>
    <row r="66" spans="1:12" ht="18.399999999999999" x14ac:dyDescent="0.45">
      <c r="A66" s="1">
        <v>1385</v>
      </c>
      <c r="B66" s="1" t="s">
        <v>292</v>
      </c>
      <c r="C66" s="2" t="s">
        <v>64</v>
      </c>
      <c r="D66" s="5">
        <v>9211</v>
      </c>
      <c r="E66" s="4">
        <v>22.72</v>
      </c>
      <c r="F66" s="4">
        <v>33.14</v>
      </c>
      <c r="G66" s="4">
        <v>70.34</v>
      </c>
      <c r="H66" s="4">
        <v>103.47999999999999</v>
      </c>
      <c r="I66" s="4">
        <v>10.33</v>
      </c>
      <c r="J66" s="4">
        <v>4.0600000000000005</v>
      </c>
      <c r="K66" s="6">
        <v>3.81</v>
      </c>
      <c r="L66" s="4">
        <v>37.269999999999996</v>
      </c>
    </row>
    <row r="67" spans="1:12" ht="18.399999999999999" x14ac:dyDescent="0.45">
      <c r="A67" s="1">
        <v>1385</v>
      </c>
      <c r="B67" s="1" t="s">
        <v>293</v>
      </c>
      <c r="C67" s="2" t="s">
        <v>65</v>
      </c>
      <c r="D67" s="5">
        <v>9219</v>
      </c>
      <c r="E67" s="4">
        <v>23.39</v>
      </c>
      <c r="F67" s="4">
        <v>34.019999999999996</v>
      </c>
      <c r="G67" s="4">
        <v>71.97999999999999</v>
      </c>
      <c r="H67" s="4">
        <v>106</v>
      </c>
      <c r="I67" s="4">
        <v>10.47</v>
      </c>
      <c r="J67" s="4">
        <v>4.7700000000000005</v>
      </c>
      <c r="K67" s="6">
        <v>3.8600000000000003</v>
      </c>
      <c r="L67" s="4">
        <v>40.090000000000003</v>
      </c>
    </row>
    <row r="68" spans="1:12" ht="18.399999999999999" x14ac:dyDescent="0.45">
      <c r="A68" s="1">
        <v>1385</v>
      </c>
      <c r="B68" s="1" t="s">
        <v>294</v>
      </c>
      <c r="C68" s="2" t="s">
        <v>66</v>
      </c>
      <c r="D68" s="5">
        <v>9226</v>
      </c>
      <c r="E68" s="4">
        <v>22.46</v>
      </c>
      <c r="F68" s="4">
        <v>33.71</v>
      </c>
      <c r="G68" s="4">
        <v>74.17</v>
      </c>
      <c r="H68" s="4">
        <v>107.88</v>
      </c>
      <c r="I68" s="4">
        <v>10.45</v>
      </c>
      <c r="J68" s="4">
        <v>4.1399999999999997</v>
      </c>
      <c r="K68" s="6">
        <v>4.47</v>
      </c>
      <c r="L68" s="4">
        <v>39.549999999999997</v>
      </c>
    </row>
    <row r="69" spans="1:12" ht="18.399999999999999" x14ac:dyDescent="0.45">
      <c r="A69" s="1">
        <v>1385</v>
      </c>
      <c r="B69" s="1" t="s">
        <v>295</v>
      </c>
      <c r="C69" s="2" t="s">
        <v>67</v>
      </c>
      <c r="D69" s="5">
        <v>9241</v>
      </c>
      <c r="E69" s="4">
        <v>23.2</v>
      </c>
      <c r="F69" s="4">
        <v>34.97</v>
      </c>
      <c r="G69" s="4">
        <v>76.44</v>
      </c>
      <c r="H69" s="4">
        <v>111.4</v>
      </c>
      <c r="I69" s="4">
        <v>10.42</v>
      </c>
      <c r="J69" s="4">
        <v>4.68</v>
      </c>
      <c r="K69" s="6">
        <v>5.43</v>
      </c>
      <c r="L69" s="4">
        <v>39.320000000000007</v>
      </c>
    </row>
    <row r="70" spans="1:12" ht="18.399999999999999" x14ac:dyDescent="0.45">
      <c r="A70" s="1">
        <v>1385</v>
      </c>
      <c r="B70" s="1" t="s">
        <v>296</v>
      </c>
      <c r="C70" s="2" t="s">
        <v>68</v>
      </c>
      <c r="D70" s="5">
        <v>9263</v>
      </c>
      <c r="E70" s="4">
        <v>23.29</v>
      </c>
      <c r="F70" s="4">
        <v>34.989999999999995</v>
      </c>
      <c r="G70" s="4">
        <v>78.75</v>
      </c>
      <c r="H70" s="4">
        <v>113.74000000000001</v>
      </c>
      <c r="I70" s="4">
        <v>10.959999999999999</v>
      </c>
      <c r="J70" s="4">
        <v>4.83</v>
      </c>
      <c r="K70" s="6">
        <v>5.2299999999999995</v>
      </c>
      <c r="L70" s="4">
        <v>39.049999999999997</v>
      </c>
    </row>
    <row r="71" spans="1:12" ht="18.399999999999999" x14ac:dyDescent="0.45">
      <c r="A71" s="1">
        <v>1385</v>
      </c>
      <c r="B71" s="1" t="s">
        <v>297</v>
      </c>
      <c r="C71" s="2" t="s">
        <v>69</v>
      </c>
      <c r="D71" s="5">
        <v>9270</v>
      </c>
      <c r="E71" s="4">
        <v>23.35</v>
      </c>
      <c r="F71" s="4">
        <v>36.08</v>
      </c>
      <c r="G71" s="4">
        <v>80.87</v>
      </c>
      <c r="H71" s="4">
        <v>116.95</v>
      </c>
      <c r="I71" s="4">
        <v>11.01</v>
      </c>
      <c r="J71" s="4">
        <v>5.01</v>
      </c>
      <c r="K71" s="6">
        <v>5.74</v>
      </c>
      <c r="L71" s="4">
        <v>40.4</v>
      </c>
    </row>
    <row r="72" spans="1:12" ht="18.399999999999999" x14ac:dyDescent="0.45">
      <c r="A72" s="1">
        <v>1385</v>
      </c>
      <c r="B72" s="1" t="s">
        <v>298</v>
      </c>
      <c r="C72" s="2" t="s">
        <v>70</v>
      </c>
      <c r="D72" s="5">
        <v>9278</v>
      </c>
      <c r="E72" s="4">
        <v>24.3</v>
      </c>
      <c r="F72" s="4">
        <v>37.739999999999995</v>
      </c>
      <c r="G72" s="4">
        <v>83.17</v>
      </c>
      <c r="H72" s="4">
        <v>120.91</v>
      </c>
      <c r="I72" s="4">
        <v>10.98</v>
      </c>
      <c r="J72" s="4">
        <v>5.35</v>
      </c>
      <c r="K72" s="6">
        <v>7.07</v>
      </c>
      <c r="L72" s="4">
        <v>38.61</v>
      </c>
    </row>
    <row r="73" spans="1:12" ht="18.399999999999999" x14ac:dyDescent="0.45">
      <c r="A73" s="1">
        <v>1385</v>
      </c>
      <c r="B73" s="1" t="s">
        <v>299</v>
      </c>
      <c r="C73" s="2" t="s">
        <v>71</v>
      </c>
      <c r="D73" s="5">
        <v>9311</v>
      </c>
      <c r="E73" s="4">
        <v>28</v>
      </c>
      <c r="F73" s="4">
        <v>41.45</v>
      </c>
      <c r="G73" s="4">
        <v>86.95</v>
      </c>
      <c r="H73" s="4">
        <v>128.42000000000002</v>
      </c>
      <c r="I73" s="4">
        <v>10.41</v>
      </c>
      <c r="J73" s="4">
        <v>5.62</v>
      </c>
      <c r="K73" s="6">
        <v>5.49</v>
      </c>
      <c r="L73" s="4">
        <v>42.5</v>
      </c>
    </row>
    <row r="74" spans="1:12" ht="18.399999999999999" x14ac:dyDescent="0.45">
      <c r="A74" s="1">
        <v>1386</v>
      </c>
      <c r="B74" s="1" t="s">
        <v>288</v>
      </c>
      <c r="C74" s="2" t="s">
        <v>72</v>
      </c>
      <c r="D74" s="5">
        <v>9318</v>
      </c>
      <c r="E74" s="4">
        <v>27.71</v>
      </c>
      <c r="F74" s="4">
        <v>37.06</v>
      </c>
      <c r="G74" s="4">
        <v>90.59</v>
      </c>
      <c r="H74" s="4">
        <v>127.648</v>
      </c>
      <c r="I74" s="4">
        <v>10.39</v>
      </c>
      <c r="J74" s="4">
        <v>5.9790000000000001</v>
      </c>
      <c r="K74" s="6">
        <v>7.956999999999999</v>
      </c>
      <c r="L74" s="4">
        <v>41.76</v>
      </c>
    </row>
    <row r="75" spans="1:12" ht="18.399999999999999" x14ac:dyDescent="0.45">
      <c r="A75" s="1">
        <v>1386</v>
      </c>
      <c r="B75" s="1" t="s">
        <v>289</v>
      </c>
      <c r="C75" s="2" t="s">
        <v>73</v>
      </c>
      <c r="D75" s="5">
        <v>9299</v>
      </c>
      <c r="E75" s="4">
        <v>28.389999999999997</v>
      </c>
      <c r="F75" s="4">
        <v>39.03</v>
      </c>
      <c r="G75" s="4">
        <v>92.47</v>
      </c>
      <c r="H75" s="4">
        <v>131.49700000000001</v>
      </c>
      <c r="I75" s="4">
        <v>11.08</v>
      </c>
      <c r="J75" s="4">
        <v>6.37</v>
      </c>
      <c r="K75" s="6">
        <v>8.2889999999999997</v>
      </c>
      <c r="L75" s="4">
        <v>41.488</v>
      </c>
    </row>
    <row r="76" spans="1:12" ht="18.399999999999999" x14ac:dyDescent="0.45">
      <c r="A76" s="1">
        <v>1386</v>
      </c>
      <c r="B76" s="1" t="s">
        <v>290</v>
      </c>
      <c r="C76" s="2" t="s">
        <v>74</v>
      </c>
      <c r="D76" s="5">
        <v>9304</v>
      </c>
      <c r="E76" s="4">
        <v>29.47</v>
      </c>
      <c r="F76" s="4">
        <v>40.35</v>
      </c>
      <c r="G76" s="4">
        <v>93.76</v>
      </c>
      <c r="H76" s="4">
        <v>134.107</v>
      </c>
      <c r="I76" s="4">
        <v>10.95</v>
      </c>
      <c r="J76" s="4">
        <v>7.4550000000000001</v>
      </c>
      <c r="K76" s="6">
        <v>8.6709999999999994</v>
      </c>
      <c r="L76" s="4">
        <v>43.695999999999998</v>
      </c>
    </row>
    <row r="77" spans="1:12" ht="18.399999999999999" x14ac:dyDescent="0.45">
      <c r="A77" s="1">
        <v>1386</v>
      </c>
      <c r="B77" s="1" t="s">
        <v>291</v>
      </c>
      <c r="C77" s="2" t="s">
        <v>75</v>
      </c>
      <c r="D77" s="5">
        <v>9324</v>
      </c>
      <c r="E77" s="4">
        <v>30.46</v>
      </c>
      <c r="F77" s="4">
        <v>43.4</v>
      </c>
      <c r="G77" s="4">
        <v>95.92</v>
      </c>
      <c r="H77" s="4">
        <v>139.31800000000001</v>
      </c>
      <c r="I77" s="4">
        <v>10.39</v>
      </c>
      <c r="J77" s="4">
        <v>7.9909999999999997</v>
      </c>
      <c r="K77" s="6">
        <v>9.963000000000001</v>
      </c>
      <c r="L77" s="4">
        <v>44.515000000000001</v>
      </c>
    </row>
    <row r="78" spans="1:12" ht="18.399999999999999" x14ac:dyDescent="0.45">
      <c r="A78" s="1">
        <v>1386</v>
      </c>
      <c r="B78" s="1" t="s">
        <v>292</v>
      </c>
      <c r="C78" s="2" t="s">
        <v>76</v>
      </c>
      <c r="D78" s="5">
        <v>9349</v>
      </c>
      <c r="E78" s="4">
        <v>31.65</v>
      </c>
      <c r="F78" s="4">
        <v>43.83</v>
      </c>
      <c r="G78" s="4">
        <v>98.3</v>
      </c>
      <c r="H78" s="4">
        <v>142.20599999999999</v>
      </c>
      <c r="I78" s="4">
        <v>10.55</v>
      </c>
      <c r="J78" s="4">
        <v>8.0419999999999998</v>
      </c>
      <c r="K78" s="6">
        <v>9.9570000000000007</v>
      </c>
      <c r="L78" s="4">
        <v>47.956000000000003</v>
      </c>
    </row>
    <row r="79" spans="1:12" ht="18.399999999999999" x14ac:dyDescent="0.45">
      <c r="A79" s="1">
        <v>1386</v>
      </c>
      <c r="B79" s="1" t="s">
        <v>293</v>
      </c>
      <c r="C79" s="2" t="s">
        <v>77</v>
      </c>
      <c r="D79" s="5">
        <v>9369</v>
      </c>
      <c r="E79" s="4">
        <v>31.26</v>
      </c>
      <c r="F79" s="4">
        <v>45.1</v>
      </c>
      <c r="G79" s="4">
        <v>100.02000000000001</v>
      </c>
      <c r="H79" s="4">
        <v>145.11700000000002</v>
      </c>
      <c r="I79" s="4">
        <v>11.05</v>
      </c>
      <c r="J79" s="4">
        <v>8.3610000000000007</v>
      </c>
      <c r="K79" s="6">
        <v>10.619</v>
      </c>
      <c r="L79" s="4">
        <v>46.731999999999999</v>
      </c>
    </row>
    <row r="80" spans="1:12" ht="18.399999999999999" x14ac:dyDescent="0.45">
      <c r="A80" s="1">
        <v>1386</v>
      </c>
      <c r="B80" s="1" t="s">
        <v>294</v>
      </c>
      <c r="C80" s="2" t="s">
        <v>78</v>
      </c>
      <c r="D80" s="5">
        <v>9376</v>
      </c>
      <c r="E80" s="4">
        <v>32.975999999999999</v>
      </c>
      <c r="F80" s="4">
        <v>45.739999999999995</v>
      </c>
      <c r="G80" s="4">
        <v>102.369</v>
      </c>
      <c r="H80" s="4">
        <v>148.11099999999999</v>
      </c>
      <c r="I80" s="4">
        <v>10.523</v>
      </c>
      <c r="J80" s="4">
        <v>8.8739999999999988</v>
      </c>
      <c r="K80" s="6">
        <v>11.568000000000001</v>
      </c>
      <c r="L80" s="4">
        <v>50.722999999999999</v>
      </c>
    </row>
    <row r="81" spans="1:12" ht="18.399999999999999" x14ac:dyDescent="0.45">
      <c r="A81" s="1">
        <v>1386</v>
      </c>
      <c r="B81" s="1" t="s">
        <v>295</v>
      </c>
      <c r="C81" s="2" t="s">
        <v>79</v>
      </c>
      <c r="D81" s="5">
        <v>9376</v>
      </c>
      <c r="E81" s="4">
        <v>34.197000000000003</v>
      </c>
      <c r="F81" s="4">
        <v>46.745999999999995</v>
      </c>
      <c r="G81" s="4">
        <v>104.40799999999999</v>
      </c>
      <c r="H81" s="4">
        <v>151.154</v>
      </c>
      <c r="I81" s="4">
        <v>10.429</v>
      </c>
      <c r="J81" s="4">
        <v>9.0939999999999994</v>
      </c>
      <c r="K81" s="6">
        <v>12.406000000000001</v>
      </c>
      <c r="L81" s="4">
        <v>50.984000000000002</v>
      </c>
    </row>
    <row r="82" spans="1:12" ht="18.399999999999999" x14ac:dyDescent="0.45">
      <c r="A82" s="1">
        <v>1386</v>
      </c>
      <c r="B82" s="1" t="s">
        <v>296</v>
      </c>
      <c r="C82" s="2" t="s">
        <v>80</v>
      </c>
      <c r="D82" s="5">
        <v>9435</v>
      </c>
      <c r="E82" s="4">
        <v>32.986000000000004</v>
      </c>
      <c r="F82" s="4">
        <v>46.114999999999995</v>
      </c>
      <c r="G82" s="4">
        <v>106.2</v>
      </c>
      <c r="H82" s="4">
        <v>152.316</v>
      </c>
      <c r="I82" s="4">
        <v>10.711</v>
      </c>
      <c r="J82" s="4">
        <v>9.093</v>
      </c>
      <c r="K82" s="6">
        <v>13.51</v>
      </c>
      <c r="L82" s="4">
        <v>49.527999999999999</v>
      </c>
    </row>
    <row r="83" spans="1:12" ht="18.399999999999999" x14ac:dyDescent="0.45">
      <c r="A83" s="1">
        <v>1386</v>
      </c>
      <c r="B83" s="1" t="s">
        <v>297</v>
      </c>
      <c r="C83" s="2" t="s">
        <v>81</v>
      </c>
      <c r="D83" s="5">
        <v>9430</v>
      </c>
      <c r="E83" s="4">
        <v>34.355000000000004</v>
      </c>
      <c r="F83" s="4">
        <v>45.667999999999999</v>
      </c>
      <c r="G83" s="4">
        <v>108.056</v>
      </c>
      <c r="H83" s="4">
        <v>153.75399999999999</v>
      </c>
      <c r="I83" s="4">
        <v>10.722</v>
      </c>
      <c r="J83" s="4">
        <v>8.6080000000000005</v>
      </c>
      <c r="K83" s="6">
        <v>17.035</v>
      </c>
      <c r="L83" s="4">
        <v>47.939</v>
      </c>
    </row>
    <row r="84" spans="1:12" ht="18.399999999999999" x14ac:dyDescent="0.45">
      <c r="A84" s="1">
        <v>1386</v>
      </c>
      <c r="B84" s="1" t="s">
        <v>298</v>
      </c>
      <c r="C84" s="2" t="s">
        <v>82</v>
      </c>
      <c r="D84" s="5">
        <v>9399</v>
      </c>
      <c r="E84" s="4">
        <v>34.448</v>
      </c>
      <c r="F84" s="4">
        <v>47.664000000000001</v>
      </c>
      <c r="G84" s="4">
        <v>108.952</v>
      </c>
      <c r="H84" s="4">
        <v>156.61600000000001</v>
      </c>
      <c r="I84" s="4">
        <v>10.73</v>
      </c>
      <c r="J84" s="4">
        <v>9.245000000000001</v>
      </c>
      <c r="K84" s="6">
        <v>17.167999999999999</v>
      </c>
      <c r="L84" s="4">
        <v>48.076999999999998</v>
      </c>
    </row>
    <row r="85" spans="1:12" ht="18.399999999999999" x14ac:dyDescent="0.45">
      <c r="A85" s="1">
        <v>1386</v>
      </c>
      <c r="B85" s="1" t="s">
        <v>299</v>
      </c>
      <c r="C85" s="2" t="s">
        <v>83</v>
      </c>
      <c r="D85" s="5">
        <v>9305</v>
      </c>
      <c r="E85" s="4">
        <v>36.548999999999999</v>
      </c>
      <c r="F85" s="4">
        <v>53.570000000000007</v>
      </c>
      <c r="G85" s="4">
        <v>110.4585</v>
      </c>
      <c r="H85" s="4">
        <v>164.029</v>
      </c>
      <c r="I85" s="4">
        <v>9.7840000000000007</v>
      </c>
      <c r="J85" s="4">
        <v>9.0879999999999992</v>
      </c>
      <c r="K85" s="6">
        <v>13.586000000000002</v>
      </c>
      <c r="L85" s="4">
        <v>47.076999999999998</v>
      </c>
    </row>
    <row r="86" spans="1:12" ht="18.399999999999999" x14ac:dyDescent="0.45">
      <c r="A86" s="1">
        <v>1387</v>
      </c>
      <c r="B86" s="1" t="s">
        <v>288</v>
      </c>
      <c r="C86" s="2" t="s">
        <v>84</v>
      </c>
      <c r="D86" s="5">
        <v>9191</v>
      </c>
      <c r="E86" s="4">
        <v>35.33</v>
      </c>
      <c r="F86" s="4">
        <v>46.987000000000002</v>
      </c>
      <c r="G86" s="4">
        <v>112.583</v>
      </c>
      <c r="H86" s="4">
        <v>159.57</v>
      </c>
      <c r="I86" s="4">
        <v>10.178000000000001</v>
      </c>
      <c r="J86" s="4">
        <v>9.3849999999999998</v>
      </c>
      <c r="K86" s="6">
        <v>6.8349999999999991</v>
      </c>
      <c r="L86" s="4">
        <v>46.582999999999998</v>
      </c>
    </row>
    <row r="87" spans="1:12" ht="18.399999999999999" x14ac:dyDescent="0.45">
      <c r="A87" s="1">
        <v>1387</v>
      </c>
      <c r="B87" s="1" t="s">
        <v>289</v>
      </c>
      <c r="C87" s="2" t="s">
        <v>85</v>
      </c>
      <c r="D87" s="5">
        <v>9253</v>
      </c>
      <c r="E87" s="4">
        <v>35.231999999999999</v>
      </c>
      <c r="F87" s="4">
        <v>47.68</v>
      </c>
      <c r="G87" s="4">
        <v>113.75999999999999</v>
      </c>
      <c r="H87" s="4">
        <v>161.441</v>
      </c>
      <c r="I87" s="4">
        <v>10.923</v>
      </c>
      <c r="J87" s="4">
        <v>8.7050000000000001</v>
      </c>
      <c r="K87" s="6">
        <v>7.2879999999999994</v>
      </c>
      <c r="L87" s="4">
        <v>45.174999999999997</v>
      </c>
    </row>
    <row r="88" spans="1:12" ht="18.399999999999999" x14ac:dyDescent="0.45">
      <c r="A88" s="1">
        <v>1387</v>
      </c>
      <c r="B88" s="1" t="s">
        <v>290</v>
      </c>
      <c r="C88" s="2" t="s">
        <v>86</v>
      </c>
      <c r="D88" s="5">
        <v>9328</v>
      </c>
      <c r="E88" s="4">
        <v>35.863999999999997</v>
      </c>
      <c r="F88" s="4">
        <v>47.814</v>
      </c>
      <c r="G88" s="4">
        <v>114.45099999999999</v>
      </c>
      <c r="H88" s="4">
        <v>162.26600000000002</v>
      </c>
      <c r="I88" s="4">
        <v>10.45</v>
      </c>
      <c r="J88" s="4">
        <v>8.8000000000000007</v>
      </c>
      <c r="K88" s="6">
        <v>7.7819999999999991</v>
      </c>
      <c r="L88" s="4">
        <v>45.569000000000003</v>
      </c>
    </row>
    <row r="89" spans="1:12" ht="18.399999999999999" x14ac:dyDescent="0.45">
      <c r="A89" s="1">
        <v>1387</v>
      </c>
      <c r="B89" s="1" t="s">
        <v>291</v>
      </c>
      <c r="C89" s="2" t="s">
        <v>87</v>
      </c>
      <c r="D89" s="5">
        <v>9307</v>
      </c>
      <c r="E89" s="4">
        <v>36.444000000000003</v>
      </c>
      <c r="F89" s="4">
        <v>49.972000000000001</v>
      </c>
      <c r="G89" s="4">
        <v>114.55499999999999</v>
      </c>
      <c r="H89" s="4">
        <v>164.52699999999999</v>
      </c>
      <c r="I89" s="4">
        <v>9.8810000000000002</v>
      </c>
      <c r="J89" s="4">
        <v>8.9430000000000014</v>
      </c>
      <c r="K89" s="6">
        <v>8.4220000000000006</v>
      </c>
      <c r="L89" s="4">
        <v>47.576000000000008</v>
      </c>
    </row>
    <row r="90" spans="1:12" ht="18.399999999999999" x14ac:dyDescent="0.45">
      <c r="A90" s="1">
        <v>1387</v>
      </c>
      <c r="B90" s="1" t="s">
        <v>292</v>
      </c>
      <c r="C90" s="2" t="s">
        <v>88</v>
      </c>
      <c r="D90" s="5">
        <v>9436</v>
      </c>
      <c r="E90" s="4">
        <v>39.117000000000004</v>
      </c>
      <c r="F90" s="4">
        <v>49.239999999999995</v>
      </c>
      <c r="G90" s="4">
        <v>116.23099999999999</v>
      </c>
      <c r="H90" s="4">
        <v>165.476</v>
      </c>
      <c r="I90" s="4">
        <v>9.8640000000000008</v>
      </c>
      <c r="J90" s="4">
        <v>9.1959999999999997</v>
      </c>
      <c r="K90" s="6">
        <v>8.9019999999999992</v>
      </c>
      <c r="L90" s="4">
        <v>44.285000000000004</v>
      </c>
    </row>
    <row r="91" spans="1:12" ht="18.399999999999999" x14ac:dyDescent="0.45">
      <c r="A91" s="1">
        <v>1387</v>
      </c>
      <c r="B91" s="1" t="s">
        <v>293</v>
      </c>
      <c r="C91" s="2" t="s">
        <v>89</v>
      </c>
      <c r="D91" s="5">
        <v>9723</v>
      </c>
      <c r="E91" s="4">
        <v>42.445</v>
      </c>
      <c r="F91" s="4">
        <v>49.307000000000002</v>
      </c>
      <c r="G91" s="4">
        <v>117.753</v>
      </c>
      <c r="H91" s="4">
        <v>167.06</v>
      </c>
      <c r="I91" s="4">
        <v>9.8840000000000003</v>
      </c>
      <c r="J91" s="4">
        <v>8.5510000000000002</v>
      </c>
      <c r="K91" s="6">
        <v>9.734</v>
      </c>
      <c r="L91" s="4">
        <v>52.49799999999999</v>
      </c>
    </row>
    <row r="92" spans="1:12" ht="18.399999999999999" x14ac:dyDescent="0.45">
      <c r="A92" s="1">
        <v>1387</v>
      </c>
      <c r="B92" s="1" t="s">
        <v>294</v>
      </c>
      <c r="C92" s="2" t="s">
        <v>90</v>
      </c>
      <c r="D92" s="5">
        <v>9846</v>
      </c>
      <c r="E92" s="4">
        <v>42.168999999999997</v>
      </c>
      <c r="F92" s="4">
        <v>49.143999999999998</v>
      </c>
      <c r="G92" s="4">
        <v>120.3</v>
      </c>
      <c r="H92" s="4">
        <v>169.42099999999999</v>
      </c>
      <c r="I92" s="4">
        <v>10.184000000000001</v>
      </c>
      <c r="J92" s="4">
        <v>9.9529999999999994</v>
      </c>
      <c r="K92" s="6">
        <v>20.133999999999997</v>
      </c>
      <c r="L92" s="4">
        <v>55.289000000000001</v>
      </c>
    </row>
    <row r="93" spans="1:12" ht="18.399999999999999" x14ac:dyDescent="0.45">
      <c r="A93" s="1">
        <v>1387</v>
      </c>
      <c r="B93" s="1" t="s">
        <v>295</v>
      </c>
      <c r="C93" s="2" t="s">
        <v>91</v>
      </c>
      <c r="D93" s="5">
        <v>10274</v>
      </c>
      <c r="E93" s="4">
        <v>43.137999999999998</v>
      </c>
      <c r="F93" s="4">
        <v>48.503</v>
      </c>
      <c r="G93" s="4">
        <v>122.2</v>
      </c>
      <c r="H93" s="4">
        <v>170.53399999999999</v>
      </c>
      <c r="I93" s="4">
        <v>10.126999999999999</v>
      </c>
      <c r="J93" s="4">
        <v>9.93</v>
      </c>
      <c r="K93" s="6">
        <v>20.583999999999996</v>
      </c>
      <c r="L93" s="4">
        <v>53.781000000000006</v>
      </c>
    </row>
    <row r="94" spans="1:12" ht="18.399999999999999" x14ac:dyDescent="0.45">
      <c r="A94" s="1">
        <v>1387</v>
      </c>
      <c r="B94" s="1" t="s">
        <v>296</v>
      </c>
      <c r="C94" s="2" t="s">
        <v>92</v>
      </c>
      <c r="D94" s="5">
        <v>10174</v>
      </c>
      <c r="E94" s="4">
        <v>43.698999999999998</v>
      </c>
      <c r="F94" s="4">
        <v>47.048999999999999</v>
      </c>
      <c r="G94" s="4">
        <v>123.4</v>
      </c>
      <c r="H94" s="4">
        <v>170.49299999999999</v>
      </c>
      <c r="I94" s="4">
        <v>10.141</v>
      </c>
      <c r="J94" s="4">
        <v>10.102</v>
      </c>
      <c r="K94" s="6">
        <v>21.184000000000001</v>
      </c>
      <c r="L94" s="4">
        <v>56.036000000000001</v>
      </c>
    </row>
    <row r="95" spans="1:12" ht="18.399999999999999" x14ac:dyDescent="0.45">
      <c r="A95" s="1">
        <v>1387</v>
      </c>
      <c r="B95" s="1" t="s">
        <v>297</v>
      </c>
      <c r="C95" s="2" t="s">
        <v>93</v>
      </c>
      <c r="D95" s="5">
        <v>9942</v>
      </c>
      <c r="E95" s="4">
        <v>42.863999999999997</v>
      </c>
      <c r="F95" s="4">
        <v>45.911000000000001</v>
      </c>
      <c r="G95" s="4">
        <v>127.5</v>
      </c>
      <c r="H95" s="4">
        <v>173.40699999999998</v>
      </c>
      <c r="I95" s="4">
        <v>10.138999999999999</v>
      </c>
      <c r="J95" s="4">
        <v>10.593999999999999</v>
      </c>
      <c r="K95" s="6">
        <v>22.895999999999997</v>
      </c>
      <c r="L95" s="4">
        <v>55.228999999999999</v>
      </c>
    </row>
    <row r="96" spans="1:12" ht="18.399999999999999" x14ac:dyDescent="0.45">
      <c r="A96" s="1">
        <v>1387</v>
      </c>
      <c r="B96" s="1" t="s">
        <v>298</v>
      </c>
      <c r="C96" s="2" t="s">
        <v>94</v>
      </c>
      <c r="D96" s="5">
        <v>9775</v>
      </c>
      <c r="E96" s="4">
        <v>43.143999999999998</v>
      </c>
      <c r="F96" s="4">
        <v>46.269999999999996</v>
      </c>
      <c r="G96" s="4">
        <v>131.19999999999999</v>
      </c>
      <c r="H96" s="4">
        <v>177.458</v>
      </c>
      <c r="I96" s="4">
        <v>9.9190000000000005</v>
      </c>
      <c r="J96" s="4">
        <v>10.815999999999999</v>
      </c>
      <c r="K96" s="6">
        <v>23.869</v>
      </c>
      <c r="L96" s="4">
        <v>51.349000000000004</v>
      </c>
    </row>
    <row r="97" spans="1:12" ht="18.399999999999999" x14ac:dyDescent="0.45">
      <c r="A97" s="1">
        <v>1387</v>
      </c>
      <c r="B97" s="1" t="s">
        <v>299</v>
      </c>
      <c r="C97" s="2" t="s">
        <v>95</v>
      </c>
      <c r="D97" s="5">
        <v>9888</v>
      </c>
      <c r="E97" s="4">
        <v>54.084000000000003</v>
      </c>
      <c r="F97" s="4">
        <v>52.548000000000002</v>
      </c>
      <c r="G97" s="4">
        <v>137.6</v>
      </c>
      <c r="H97" s="4">
        <v>190.136</v>
      </c>
      <c r="I97" s="4">
        <v>9.1419999999999995</v>
      </c>
      <c r="J97" s="4">
        <v>11.55</v>
      </c>
      <c r="K97" s="6">
        <v>23.283999999999999</v>
      </c>
      <c r="L97" s="4">
        <v>60.561</v>
      </c>
    </row>
    <row r="98" spans="1:12" ht="18.399999999999999" x14ac:dyDescent="0.45">
      <c r="A98" s="1">
        <v>1388</v>
      </c>
      <c r="B98" s="1" t="s">
        <v>288</v>
      </c>
      <c r="C98" s="2" t="s">
        <v>96</v>
      </c>
      <c r="D98" s="5">
        <v>9979</v>
      </c>
      <c r="E98" s="4">
        <v>51.930999999999997</v>
      </c>
      <c r="F98" s="4">
        <v>46.266000000000005</v>
      </c>
      <c r="G98" s="4">
        <v>141.80000000000001</v>
      </c>
      <c r="H98" s="4">
        <v>188.08800000000002</v>
      </c>
      <c r="I98" s="4">
        <v>9.4989999999999988</v>
      </c>
      <c r="J98" s="4">
        <v>12.512</v>
      </c>
      <c r="K98" s="6">
        <v>25.501999999999999</v>
      </c>
      <c r="L98" s="4">
        <v>63.644999999999996</v>
      </c>
    </row>
    <row r="99" spans="1:12" ht="18.399999999999999" x14ac:dyDescent="0.45">
      <c r="A99" s="1">
        <v>1388</v>
      </c>
      <c r="B99" s="1" t="s">
        <v>289</v>
      </c>
      <c r="C99" s="2" t="s">
        <v>97</v>
      </c>
      <c r="D99" s="5">
        <v>9940</v>
      </c>
      <c r="E99" s="4">
        <v>48.279000000000003</v>
      </c>
      <c r="F99" s="4">
        <v>44.899000000000001</v>
      </c>
      <c r="G99" s="4">
        <v>145.6</v>
      </c>
      <c r="H99" s="4">
        <v>190.274</v>
      </c>
      <c r="I99" s="4">
        <v>9.1</v>
      </c>
      <c r="J99" s="4">
        <v>12.494</v>
      </c>
      <c r="K99" s="6">
        <v>24.712</v>
      </c>
      <c r="L99" s="4">
        <v>61.81</v>
      </c>
    </row>
    <row r="100" spans="1:12" ht="18.399999999999999" x14ac:dyDescent="0.45">
      <c r="A100" s="1">
        <v>1388</v>
      </c>
      <c r="B100" s="1" t="s">
        <v>290</v>
      </c>
      <c r="C100" s="2" t="s">
        <v>98</v>
      </c>
      <c r="D100" s="5">
        <v>9808</v>
      </c>
      <c r="E100" s="4">
        <v>49.347000000000001</v>
      </c>
      <c r="F100" s="4">
        <v>48.634</v>
      </c>
      <c r="G100" s="4">
        <v>148.4</v>
      </c>
      <c r="H100" s="4">
        <v>197.048</v>
      </c>
      <c r="I100" s="4">
        <v>9.093</v>
      </c>
      <c r="J100" s="4">
        <v>12.840999999999999</v>
      </c>
      <c r="K100" s="6">
        <v>22.119999999999997</v>
      </c>
      <c r="L100" s="4">
        <v>64.753</v>
      </c>
    </row>
    <row r="101" spans="1:12" ht="18.399999999999999" x14ac:dyDescent="0.45">
      <c r="A101" s="1">
        <v>1388</v>
      </c>
      <c r="B101" s="1" t="s">
        <v>291</v>
      </c>
      <c r="C101" s="2" t="s">
        <v>99</v>
      </c>
      <c r="D101" s="5">
        <v>9995</v>
      </c>
      <c r="E101" s="4">
        <v>50.116</v>
      </c>
      <c r="F101" s="4">
        <v>50.311</v>
      </c>
      <c r="G101" s="4">
        <v>152.1</v>
      </c>
      <c r="H101" s="4">
        <v>202.41500000000002</v>
      </c>
      <c r="I101" s="4">
        <v>9.1519999999999992</v>
      </c>
      <c r="J101" s="4">
        <v>13.184999999999999</v>
      </c>
      <c r="K101" s="6">
        <v>21.574000000000002</v>
      </c>
      <c r="L101" s="4">
        <v>69.00800000000001</v>
      </c>
    </row>
    <row r="102" spans="1:12" ht="18.399999999999999" x14ac:dyDescent="0.45">
      <c r="A102" s="1">
        <v>1388</v>
      </c>
      <c r="B102" s="1" t="s">
        <v>292</v>
      </c>
      <c r="C102" s="2" t="s">
        <v>100</v>
      </c>
      <c r="D102" s="5">
        <v>10009</v>
      </c>
      <c r="E102" s="4">
        <v>51.137999999999998</v>
      </c>
      <c r="F102" s="4">
        <v>49.954000000000001</v>
      </c>
      <c r="G102" s="4">
        <v>156.5</v>
      </c>
      <c r="H102" s="4">
        <v>206.40799999999999</v>
      </c>
      <c r="I102" s="4">
        <v>9.1519999999999992</v>
      </c>
      <c r="J102" s="4">
        <v>13.255000000000001</v>
      </c>
      <c r="K102" s="6">
        <v>19.689</v>
      </c>
      <c r="L102" s="4">
        <v>66.774000000000001</v>
      </c>
    </row>
    <row r="103" spans="1:12" ht="18.399999999999999" x14ac:dyDescent="0.45">
      <c r="A103" s="1">
        <v>1388</v>
      </c>
      <c r="B103" s="1" t="s">
        <v>293</v>
      </c>
      <c r="C103" s="2" t="s">
        <v>101</v>
      </c>
      <c r="D103" s="5">
        <v>9959</v>
      </c>
      <c r="E103" s="4">
        <v>51.975000000000001</v>
      </c>
      <c r="F103" s="4">
        <v>51.576000000000001</v>
      </c>
      <c r="G103" s="4">
        <v>160.1</v>
      </c>
      <c r="H103" s="4">
        <v>211.661</v>
      </c>
      <c r="I103" s="4">
        <v>9.1819999999999986</v>
      </c>
      <c r="J103" s="4">
        <v>13.45</v>
      </c>
      <c r="K103" s="6">
        <v>19.353999999999999</v>
      </c>
      <c r="L103" s="4">
        <v>71.331999999999994</v>
      </c>
    </row>
    <row r="104" spans="1:12" ht="18.399999999999999" x14ac:dyDescent="0.45">
      <c r="A104" s="1">
        <v>1388</v>
      </c>
      <c r="B104" s="1" t="s">
        <v>294</v>
      </c>
      <c r="C104" s="2" t="s">
        <v>102</v>
      </c>
      <c r="D104" s="5">
        <v>9935</v>
      </c>
      <c r="E104" s="4">
        <v>49.805999999999997</v>
      </c>
      <c r="F104" s="4">
        <v>50.097999999999999</v>
      </c>
      <c r="G104" s="4">
        <v>161.947</v>
      </c>
      <c r="H104" s="4">
        <v>212.04499999999999</v>
      </c>
      <c r="I104" s="4">
        <v>9.1760000000000002</v>
      </c>
      <c r="J104" s="4">
        <v>14.221</v>
      </c>
      <c r="K104" s="6">
        <v>18.827000000000002</v>
      </c>
      <c r="L104" s="4">
        <v>71.23299999999999</v>
      </c>
    </row>
    <row r="105" spans="1:12" ht="18.399999999999999" x14ac:dyDescent="0.45">
      <c r="A105" s="1">
        <v>1388</v>
      </c>
      <c r="B105" s="1" t="s">
        <v>295</v>
      </c>
      <c r="C105" s="2" t="s">
        <v>103</v>
      </c>
      <c r="D105" s="5">
        <v>9950</v>
      </c>
      <c r="E105" s="4">
        <v>49.1</v>
      </c>
      <c r="F105" s="4">
        <v>50.280999999999999</v>
      </c>
      <c r="G105" s="4">
        <v>163.22</v>
      </c>
      <c r="H105" s="4">
        <v>213.602</v>
      </c>
      <c r="I105" s="4">
        <v>9.1780000000000008</v>
      </c>
      <c r="J105" s="4">
        <v>13.686000000000002</v>
      </c>
      <c r="K105" s="6">
        <v>19.094999999999999</v>
      </c>
      <c r="L105" s="4">
        <v>71.50800000000001</v>
      </c>
    </row>
    <row r="106" spans="1:12" ht="18.399999999999999" x14ac:dyDescent="0.45">
      <c r="A106" s="1">
        <v>1388</v>
      </c>
      <c r="B106" s="1" t="s">
        <v>296</v>
      </c>
      <c r="C106" s="2" t="s">
        <v>104</v>
      </c>
      <c r="D106" s="5">
        <v>10004</v>
      </c>
      <c r="E106" s="4">
        <v>49.147000000000006</v>
      </c>
      <c r="F106" s="4">
        <v>50.731000000000002</v>
      </c>
      <c r="G106" s="4">
        <v>166.45999999999998</v>
      </c>
      <c r="H106" s="4">
        <v>217.19200000000001</v>
      </c>
      <c r="I106" s="4">
        <v>9.1859999999999999</v>
      </c>
      <c r="J106" s="4">
        <v>13.959999999999999</v>
      </c>
      <c r="K106" s="6">
        <v>18.704000000000001</v>
      </c>
      <c r="L106" s="4">
        <v>73.411000000000001</v>
      </c>
    </row>
    <row r="107" spans="1:12" ht="18.399999999999999" x14ac:dyDescent="0.45">
      <c r="A107" s="1">
        <v>1388</v>
      </c>
      <c r="B107" s="1" t="s">
        <v>297</v>
      </c>
      <c r="C107" s="2" t="s">
        <v>105</v>
      </c>
      <c r="D107" s="5">
        <v>10037</v>
      </c>
      <c r="E107" s="4">
        <v>49.510000000000005</v>
      </c>
      <c r="F107" s="4">
        <v>49.474000000000004</v>
      </c>
      <c r="G107" s="4">
        <v>170.79900000000001</v>
      </c>
      <c r="H107" s="4">
        <v>220.273</v>
      </c>
      <c r="I107" s="4">
        <v>9.1959999999999997</v>
      </c>
      <c r="J107" s="4">
        <v>18.192</v>
      </c>
      <c r="K107" s="6">
        <v>19.026999999999997</v>
      </c>
      <c r="L107" s="4">
        <v>71.350999999999999</v>
      </c>
    </row>
    <row r="108" spans="1:12" ht="18.399999999999999" x14ac:dyDescent="0.45">
      <c r="A108" s="1">
        <v>1388</v>
      </c>
      <c r="B108" s="1" t="s">
        <v>298</v>
      </c>
      <c r="C108" s="2" t="s">
        <v>106</v>
      </c>
      <c r="D108" s="5">
        <v>10103</v>
      </c>
      <c r="E108" s="4">
        <v>51.713000000000001</v>
      </c>
      <c r="F108" s="4">
        <v>52.923000000000002</v>
      </c>
      <c r="G108" s="4">
        <v>171.21700000000001</v>
      </c>
      <c r="H108" s="4">
        <v>224.14000000000001</v>
      </c>
      <c r="I108" s="4">
        <v>9.270999999999999</v>
      </c>
      <c r="J108" s="4">
        <v>15.315999999999999</v>
      </c>
      <c r="K108" s="6">
        <v>18.954000000000001</v>
      </c>
      <c r="L108" s="4">
        <v>70.936000000000007</v>
      </c>
    </row>
    <row r="109" spans="1:12" ht="18.399999999999999" x14ac:dyDescent="0.45">
      <c r="A109" s="1">
        <v>1388</v>
      </c>
      <c r="B109" s="1" t="s">
        <v>299</v>
      </c>
      <c r="C109" s="2" t="s">
        <v>107</v>
      </c>
      <c r="D109" s="5">
        <v>10052</v>
      </c>
      <c r="E109" s="4">
        <v>60.378</v>
      </c>
      <c r="F109" s="4">
        <v>60.169000000000004</v>
      </c>
      <c r="G109" s="4">
        <v>175.41900000000001</v>
      </c>
      <c r="H109" s="4">
        <v>235.58800000000002</v>
      </c>
      <c r="I109" s="4">
        <v>9.2270000000000003</v>
      </c>
      <c r="J109" s="4">
        <v>19.266999999999999</v>
      </c>
      <c r="K109" s="6">
        <v>16.892000000000003</v>
      </c>
      <c r="L109" s="4">
        <v>72.520999999999987</v>
      </c>
    </row>
    <row r="110" spans="1:12" ht="18.399999999999999" x14ac:dyDescent="0.45">
      <c r="A110" s="1">
        <v>1389</v>
      </c>
      <c r="B110" s="1" t="s">
        <v>288</v>
      </c>
      <c r="C110" s="2" t="s">
        <v>108</v>
      </c>
      <c r="D110" s="5">
        <v>10044</v>
      </c>
      <c r="E110" s="4">
        <v>57.384540000000001</v>
      </c>
      <c r="F110" s="4">
        <v>56.197159999999997</v>
      </c>
      <c r="G110" s="4">
        <v>183.86751999999998</v>
      </c>
      <c r="H110" s="4">
        <v>240.06468000000001</v>
      </c>
      <c r="I110" s="4">
        <v>9.27956</v>
      </c>
      <c r="J110" s="4">
        <v>19.721409999999999</v>
      </c>
      <c r="K110" s="6">
        <v>16.637080000000001</v>
      </c>
      <c r="L110" s="4">
        <v>73.810329999999993</v>
      </c>
    </row>
    <row r="111" spans="1:12" ht="18.399999999999999" x14ac:dyDescent="0.45">
      <c r="A111" s="1">
        <v>1389</v>
      </c>
      <c r="B111" s="1" t="s">
        <v>289</v>
      </c>
      <c r="C111" s="2" t="s">
        <v>109</v>
      </c>
      <c r="D111" s="5">
        <v>10255</v>
      </c>
      <c r="E111" s="4">
        <v>56.975169999999991</v>
      </c>
      <c r="F111" s="4">
        <v>54.984659999999998</v>
      </c>
      <c r="G111" s="4">
        <v>185.68332000000001</v>
      </c>
      <c r="H111" s="4">
        <v>240.66798</v>
      </c>
      <c r="I111" s="4">
        <v>9.7453000000000003</v>
      </c>
      <c r="J111" s="4">
        <v>20.381710000000002</v>
      </c>
      <c r="K111" s="6">
        <v>17.957879999999999</v>
      </c>
      <c r="L111" s="4">
        <v>72.22384000000001</v>
      </c>
    </row>
    <row r="112" spans="1:12" ht="18.399999999999999" x14ac:dyDescent="0.45">
      <c r="A112" s="1">
        <v>1389</v>
      </c>
      <c r="B112" s="1" t="s">
        <v>290</v>
      </c>
      <c r="C112" s="2" t="s">
        <v>110</v>
      </c>
      <c r="D112" s="5">
        <v>10463</v>
      </c>
      <c r="E112" s="4">
        <v>58.359500000000004</v>
      </c>
      <c r="F112" s="4">
        <v>57.636870000000002</v>
      </c>
      <c r="G112" s="4">
        <v>188.99095</v>
      </c>
      <c r="H112" s="4">
        <v>246.62782000000001</v>
      </c>
      <c r="I112" s="4">
        <v>10.351469999999999</v>
      </c>
      <c r="J112" s="4">
        <v>20.682700000000001</v>
      </c>
      <c r="K112" s="6">
        <v>19.500080000000001</v>
      </c>
      <c r="L112" s="4">
        <v>72.523209999999992</v>
      </c>
    </row>
    <row r="113" spans="1:12" ht="18.399999999999999" x14ac:dyDescent="0.45">
      <c r="A113" s="1">
        <v>1389</v>
      </c>
      <c r="B113" s="1" t="s">
        <v>291</v>
      </c>
      <c r="C113" s="2" t="s">
        <v>111</v>
      </c>
      <c r="D113" s="5">
        <v>10470</v>
      </c>
      <c r="E113" s="4">
        <v>57.188030000000005</v>
      </c>
      <c r="F113" s="4">
        <v>59.019309999999997</v>
      </c>
      <c r="G113" s="4">
        <v>192.24241000000001</v>
      </c>
      <c r="H113" s="4">
        <v>251.26172000000003</v>
      </c>
      <c r="I113" s="4">
        <v>9.286719999999999</v>
      </c>
      <c r="J113" s="4">
        <v>21.478379999999998</v>
      </c>
      <c r="K113" s="6">
        <v>20.78847</v>
      </c>
      <c r="L113" s="4">
        <v>74.017319999999998</v>
      </c>
    </row>
    <row r="114" spans="1:12" ht="18.399999999999999" x14ac:dyDescent="0.45">
      <c r="A114" s="1">
        <v>1389</v>
      </c>
      <c r="B114" s="1" t="s">
        <v>292</v>
      </c>
      <c r="C114" s="2" t="s">
        <v>112</v>
      </c>
      <c r="D114" s="5">
        <v>10547</v>
      </c>
      <c r="E114" s="4">
        <v>59.454349999999998</v>
      </c>
      <c r="F114" s="4">
        <v>60.325900000000004</v>
      </c>
      <c r="G114" s="4">
        <v>196.61296999999999</v>
      </c>
      <c r="H114" s="4">
        <v>256.93887000000001</v>
      </c>
      <c r="I114" s="4">
        <v>11.267860000000001</v>
      </c>
      <c r="J114" s="4">
        <v>21.060129999999997</v>
      </c>
      <c r="K114" s="6">
        <v>21.90239</v>
      </c>
      <c r="L114" s="4">
        <v>73.293279999999996</v>
      </c>
    </row>
    <row r="115" spans="1:12" ht="18.399999999999999" x14ac:dyDescent="0.45">
      <c r="A115" s="1">
        <v>1389</v>
      </c>
      <c r="B115" s="1" t="s">
        <v>293</v>
      </c>
      <c r="C115" s="2" t="s">
        <v>113</v>
      </c>
      <c r="D115" s="5">
        <v>10552</v>
      </c>
      <c r="E115" s="4">
        <v>60.190980000000003</v>
      </c>
      <c r="F115" s="4">
        <v>62.40802</v>
      </c>
      <c r="G115" s="4">
        <v>198.86338000000001</v>
      </c>
      <c r="H115" s="4">
        <v>261.27139999999997</v>
      </c>
      <c r="I115" s="4">
        <v>9.3006399999999996</v>
      </c>
      <c r="J115" s="4">
        <v>22.794599999999999</v>
      </c>
      <c r="K115" s="6">
        <v>22.24145</v>
      </c>
      <c r="L115" s="4">
        <v>73.954849999999993</v>
      </c>
    </row>
    <row r="116" spans="1:12" ht="18.399999999999999" x14ac:dyDescent="0.45">
      <c r="A116" s="1">
        <v>1389</v>
      </c>
      <c r="B116" s="1" t="s">
        <v>294</v>
      </c>
      <c r="C116" s="2" t="s">
        <v>114</v>
      </c>
      <c r="D116" s="5">
        <v>10918</v>
      </c>
      <c r="E116" s="4">
        <v>61.409689999999998</v>
      </c>
      <c r="F116" s="4">
        <v>62.505029999999998</v>
      </c>
      <c r="G116" s="4">
        <v>199.53833</v>
      </c>
      <c r="H116" s="4">
        <v>262.04336000000001</v>
      </c>
      <c r="I116" s="4">
        <v>13.755770000000002</v>
      </c>
      <c r="J116" s="4">
        <v>23.655279999999998</v>
      </c>
      <c r="K116" s="6">
        <v>26.207010000000004</v>
      </c>
      <c r="L116" s="4">
        <v>74.931790000000007</v>
      </c>
    </row>
    <row r="117" spans="1:12" ht="18.399999999999999" x14ac:dyDescent="0.45">
      <c r="A117" s="1">
        <v>1389</v>
      </c>
      <c r="B117" s="1" t="s">
        <v>295</v>
      </c>
      <c r="C117" s="2" t="s">
        <v>115</v>
      </c>
      <c r="D117" s="5">
        <v>10670</v>
      </c>
      <c r="E117" s="4">
        <v>64.420090000000002</v>
      </c>
      <c r="F117" s="4">
        <v>63.216459999999998</v>
      </c>
      <c r="G117" s="4">
        <v>203.6474</v>
      </c>
      <c r="H117" s="4">
        <v>266.86386000000005</v>
      </c>
      <c r="I117" s="4">
        <v>14.982949999999999</v>
      </c>
      <c r="J117" s="4">
        <v>24.195920000000001</v>
      </c>
      <c r="K117" s="6">
        <v>27.587499999999999</v>
      </c>
      <c r="L117" s="4">
        <v>72.714860000000016</v>
      </c>
    </row>
    <row r="118" spans="1:12" ht="18.399999999999999" x14ac:dyDescent="0.45">
      <c r="A118" s="1">
        <v>1389</v>
      </c>
      <c r="B118" s="1" t="s">
        <v>296</v>
      </c>
      <c r="C118" s="2" t="s">
        <v>116</v>
      </c>
      <c r="D118" s="5">
        <v>10606</v>
      </c>
      <c r="E118" s="4">
        <v>65.087639999999993</v>
      </c>
      <c r="F118" s="4">
        <v>64.480949999999993</v>
      </c>
      <c r="G118" s="4">
        <v>206.19515000000001</v>
      </c>
      <c r="H118" s="4">
        <v>270.67610000000002</v>
      </c>
      <c r="I118" s="4">
        <v>16.26465</v>
      </c>
      <c r="J118" s="4">
        <v>24.733339999999998</v>
      </c>
      <c r="K118" s="6">
        <v>28.428570000000001</v>
      </c>
      <c r="L118" s="4">
        <v>68.759249999999994</v>
      </c>
    </row>
    <row r="119" spans="1:12" ht="18.399999999999999" x14ac:dyDescent="0.45">
      <c r="A119" s="1">
        <v>1389</v>
      </c>
      <c r="B119" s="1" t="s">
        <v>297</v>
      </c>
      <c r="C119" s="2" t="s">
        <v>117</v>
      </c>
      <c r="D119" s="5">
        <v>10797</v>
      </c>
      <c r="E119" s="4">
        <v>63.412380000000006</v>
      </c>
      <c r="F119" s="4">
        <v>64.164059999999992</v>
      </c>
      <c r="G119" s="4">
        <v>212.10572000000002</v>
      </c>
      <c r="H119" s="4">
        <v>276.26977999999997</v>
      </c>
      <c r="I119" s="4">
        <v>13.736770000000002</v>
      </c>
      <c r="J119" s="4">
        <v>26.411829999999998</v>
      </c>
      <c r="K119" s="6">
        <v>32.18477</v>
      </c>
      <c r="L119" s="4">
        <v>66.399720000000002</v>
      </c>
    </row>
    <row r="120" spans="1:12" ht="18.399999999999999" x14ac:dyDescent="0.45">
      <c r="A120" s="1">
        <v>1389</v>
      </c>
      <c r="B120" s="1" t="s">
        <v>298</v>
      </c>
      <c r="C120" s="2" t="s">
        <v>118</v>
      </c>
      <c r="D120" s="5">
        <v>10894</v>
      </c>
      <c r="E120" s="4">
        <v>65.716409999999996</v>
      </c>
      <c r="F120" s="4">
        <v>67.610900000000001</v>
      </c>
      <c r="G120" s="4">
        <v>218.49857000000003</v>
      </c>
      <c r="H120" s="4">
        <v>286.10946999999999</v>
      </c>
      <c r="I120" s="4">
        <v>16.665860000000002</v>
      </c>
      <c r="J120" s="4">
        <v>27.607289999999999</v>
      </c>
      <c r="K120" s="6">
        <v>30.735749999999996</v>
      </c>
      <c r="L120" s="4">
        <v>67.871290000000002</v>
      </c>
    </row>
    <row r="121" spans="1:12" ht="18.399999999999999" x14ac:dyDescent="0.45">
      <c r="A121" s="1">
        <v>1389</v>
      </c>
      <c r="B121" s="1" t="s">
        <v>299</v>
      </c>
      <c r="C121" s="2" t="s">
        <v>119</v>
      </c>
      <c r="D121" s="5">
        <v>11068</v>
      </c>
      <c r="E121" s="4">
        <v>68.639809999999997</v>
      </c>
      <c r="F121" s="4">
        <v>75.871659999999991</v>
      </c>
      <c r="G121" s="4">
        <v>219.01576</v>
      </c>
      <c r="H121" s="4">
        <v>294.88742000000002</v>
      </c>
      <c r="I121" s="4">
        <v>17.303220000000003</v>
      </c>
      <c r="J121" s="4">
        <v>29.589659999999999</v>
      </c>
      <c r="K121" s="6">
        <v>32.972560000000001</v>
      </c>
      <c r="L121" s="4">
        <v>68.57171000000001</v>
      </c>
    </row>
    <row r="122" spans="1:12" ht="18.399999999999999" x14ac:dyDescent="0.45">
      <c r="A122" s="1">
        <v>1390</v>
      </c>
      <c r="B122" s="1" t="s">
        <v>288</v>
      </c>
      <c r="C122" s="2" t="s">
        <v>120</v>
      </c>
      <c r="D122" s="5">
        <v>11188</v>
      </c>
      <c r="E122" s="4">
        <v>67.680969999999988</v>
      </c>
      <c r="F122" s="4">
        <v>70.909819999999996</v>
      </c>
      <c r="G122" s="4">
        <v>224.8064</v>
      </c>
      <c r="H122" s="4">
        <v>295.71622000000002</v>
      </c>
      <c r="I122" s="4">
        <v>24.705270000000002</v>
      </c>
      <c r="J122" s="4">
        <v>30.815540000000006</v>
      </c>
      <c r="K122" s="6">
        <v>33.25385</v>
      </c>
      <c r="L122" s="4">
        <v>68.504650000000012</v>
      </c>
    </row>
    <row r="123" spans="1:12" ht="18.399999999999999" x14ac:dyDescent="0.45">
      <c r="A123" s="1">
        <v>1390</v>
      </c>
      <c r="B123" s="1" t="s">
        <v>289</v>
      </c>
      <c r="C123" s="2" t="s">
        <v>121</v>
      </c>
      <c r="D123" s="5">
        <v>11491</v>
      </c>
      <c r="E123" s="4">
        <v>69.609930000000006</v>
      </c>
      <c r="F123" s="4">
        <v>72.943240000000003</v>
      </c>
      <c r="G123" s="4">
        <v>228.92912000000001</v>
      </c>
      <c r="H123" s="4">
        <v>301.87236000000001</v>
      </c>
      <c r="I123" s="4">
        <v>20.007550000000002</v>
      </c>
      <c r="J123" s="4">
        <v>30.464709999999997</v>
      </c>
      <c r="K123" s="6">
        <v>35.031289999999998</v>
      </c>
      <c r="L123" s="4">
        <v>71.170580000000001</v>
      </c>
    </row>
    <row r="124" spans="1:12" ht="18.399999999999999" x14ac:dyDescent="0.45">
      <c r="A124" s="1">
        <v>1390</v>
      </c>
      <c r="B124" s="1" t="s">
        <v>290</v>
      </c>
      <c r="C124" s="2" t="s">
        <v>122</v>
      </c>
      <c r="D124" s="5">
        <v>11888</v>
      </c>
      <c r="E124" s="4">
        <v>65.72851</v>
      </c>
      <c r="F124" s="4">
        <v>74.241140000000001</v>
      </c>
      <c r="G124" s="4">
        <v>228.23277999999999</v>
      </c>
      <c r="H124" s="4">
        <v>302.47392000000002</v>
      </c>
      <c r="I124" s="4">
        <v>20.309840000000001</v>
      </c>
      <c r="J124" s="4">
        <v>29.366869999999999</v>
      </c>
      <c r="K124" s="6">
        <v>37.601659999999995</v>
      </c>
      <c r="L124" s="4">
        <v>67.744330000000005</v>
      </c>
    </row>
    <row r="125" spans="1:12" ht="18.399999999999999" x14ac:dyDescent="0.45">
      <c r="A125" s="1">
        <v>1390</v>
      </c>
      <c r="B125" s="1" t="s">
        <v>291</v>
      </c>
      <c r="C125" s="2" t="s">
        <v>123</v>
      </c>
      <c r="D125" s="5">
        <v>11499</v>
      </c>
      <c r="E125" s="4">
        <v>65.503680000000003</v>
      </c>
      <c r="F125" s="4">
        <v>73.265999999999991</v>
      </c>
      <c r="G125" s="4">
        <v>230.35908000000001</v>
      </c>
      <c r="H125" s="4">
        <v>303.62507999999997</v>
      </c>
      <c r="I125" s="4">
        <v>17.435009999999998</v>
      </c>
      <c r="J125" s="4">
        <v>30.47803</v>
      </c>
      <c r="K125" s="6">
        <v>40.44312</v>
      </c>
      <c r="L125" s="4">
        <v>64.536759999999987</v>
      </c>
    </row>
    <row r="126" spans="1:12" ht="18.399999999999999" x14ac:dyDescent="0.45">
      <c r="A126" s="1">
        <v>1390</v>
      </c>
      <c r="B126" s="1" t="s">
        <v>292</v>
      </c>
      <c r="C126" s="2" t="s">
        <v>124</v>
      </c>
      <c r="D126" s="5">
        <v>11515</v>
      </c>
      <c r="E126" s="4">
        <v>65.678190000000001</v>
      </c>
      <c r="F126" s="4">
        <v>74.832149999999999</v>
      </c>
      <c r="G126" s="4">
        <v>237.25974000000002</v>
      </c>
      <c r="H126" s="4">
        <v>312.09189000000003</v>
      </c>
      <c r="I126" s="4">
        <v>17.364799999999999</v>
      </c>
      <c r="J126" s="4">
        <v>30.295400000000001</v>
      </c>
      <c r="K126" s="6">
        <v>39.957439999999998</v>
      </c>
      <c r="L126" s="4">
        <v>66.943979999999996</v>
      </c>
    </row>
    <row r="127" spans="1:12" ht="18.399999999999999" x14ac:dyDescent="0.45">
      <c r="A127" s="1">
        <v>1390</v>
      </c>
      <c r="B127" s="1" t="s">
        <v>293</v>
      </c>
      <c r="C127" s="2" t="s">
        <v>125</v>
      </c>
      <c r="D127" s="5">
        <v>12339</v>
      </c>
      <c r="E127" s="4">
        <v>66.447119999999998</v>
      </c>
      <c r="F127" s="4">
        <v>75.5946</v>
      </c>
      <c r="G127" s="4">
        <v>242.65280999999999</v>
      </c>
      <c r="H127" s="4">
        <v>318.24741</v>
      </c>
      <c r="I127" s="4">
        <v>16.125389999999999</v>
      </c>
      <c r="J127" s="4">
        <v>31.498550000000002</v>
      </c>
      <c r="K127" s="6">
        <v>42.832949999999997</v>
      </c>
      <c r="L127" s="4">
        <v>67.373999999999995</v>
      </c>
    </row>
    <row r="128" spans="1:12" ht="18.399999999999999" x14ac:dyDescent="0.45">
      <c r="A128" s="1">
        <v>1390</v>
      </c>
      <c r="B128" s="1" t="s">
        <v>294</v>
      </c>
      <c r="C128" s="2" t="s">
        <v>126</v>
      </c>
      <c r="D128" s="5">
        <v>12521</v>
      </c>
      <c r="E128" s="4">
        <v>65.402230000000003</v>
      </c>
      <c r="F128" s="4">
        <v>75.559349999999995</v>
      </c>
      <c r="G128" s="4">
        <v>244.50084999999999</v>
      </c>
      <c r="H128" s="4">
        <v>320.06020000000001</v>
      </c>
      <c r="I128" s="4">
        <v>15.465439999999997</v>
      </c>
      <c r="J128" s="4">
        <v>31.887049999999999</v>
      </c>
      <c r="K128" s="6">
        <v>43.906379999999999</v>
      </c>
      <c r="L128" s="4">
        <v>68.637519999999995</v>
      </c>
    </row>
    <row r="129" spans="1:12" ht="18.399999999999999" x14ac:dyDescent="0.45">
      <c r="A129" s="1">
        <v>1390</v>
      </c>
      <c r="B129" s="1" t="s">
        <v>295</v>
      </c>
      <c r="C129" s="2" t="s">
        <v>127</v>
      </c>
      <c r="D129" s="5">
        <v>13169</v>
      </c>
      <c r="E129" s="4">
        <v>65.483069999999998</v>
      </c>
      <c r="F129" s="4">
        <v>76.569670000000002</v>
      </c>
      <c r="G129" s="4">
        <v>247.98821000000004</v>
      </c>
      <c r="H129" s="4">
        <v>324.55787999999995</v>
      </c>
      <c r="I129" s="4">
        <v>15.46569</v>
      </c>
      <c r="J129" s="4">
        <v>32.330300000000001</v>
      </c>
      <c r="K129" s="6">
        <v>44.937040000000003</v>
      </c>
      <c r="L129" s="4">
        <v>71.753429999999994</v>
      </c>
    </row>
    <row r="130" spans="1:12" ht="18.399999999999999" x14ac:dyDescent="0.45">
      <c r="A130" s="1">
        <v>1390</v>
      </c>
      <c r="B130" s="1" t="s">
        <v>296</v>
      </c>
      <c r="C130" s="2" t="s">
        <v>128</v>
      </c>
      <c r="D130" s="5">
        <v>13715</v>
      </c>
      <c r="E130" s="4">
        <v>66.652830000000009</v>
      </c>
      <c r="F130" s="4">
        <v>77.065129999999996</v>
      </c>
      <c r="G130" s="4">
        <v>248.67372</v>
      </c>
      <c r="H130" s="4">
        <v>325.73885000000001</v>
      </c>
      <c r="I130" s="4">
        <v>15.45102</v>
      </c>
      <c r="J130" s="4">
        <v>33.053939999999997</v>
      </c>
      <c r="K130" s="6">
        <v>47.222009999999997</v>
      </c>
      <c r="L130" s="4">
        <v>68.167209999999997</v>
      </c>
    </row>
    <row r="131" spans="1:12" ht="18.399999999999999" x14ac:dyDescent="0.45">
      <c r="A131" s="1">
        <v>1390</v>
      </c>
      <c r="B131" s="1" t="s">
        <v>297</v>
      </c>
      <c r="C131" s="2" t="s">
        <v>129</v>
      </c>
      <c r="D131" s="5">
        <v>16117</v>
      </c>
      <c r="E131" s="4">
        <v>67.527869999999993</v>
      </c>
      <c r="F131" s="4">
        <v>77.973980000000012</v>
      </c>
      <c r="G131" s="4">
        <v>249.72130000000001</v>
      </c>
      <c r="H131" s="4">
        <v>327.69528000000003</v>
      </c>
      <c r="I131" s="4">
        <v>15.45478</v>
      </c>
      <c r="J131" s="4">
        <v>33.952080000000002</v>
      </c>
      <c r="K131" s="6">
        <v>48.002290000000002</v>
      </c>
      <c r="L131" s="4">
        <v>71.612730000000013</v>
      </c>
    </row>
    <row r="132" spans="1:12" ht="18.399999999999999" x14ac:dyDescent="0.45">
      <c r="A132" s="1">
        <v>1390</v>
      </c>
      <c r="B132" s="1" t="s">
        <v>298</v>
      </c>
      <c r="C132" s="2" t="s">
        <v>130</v>
      </c>
      <c r="D132" s="5">
        <v>18777</v>
      </c>
      <c r="E132" s="4">
        <v>70.580770000000001</v>
      </c>
      <c r="F132" s="4">
        <v>83.54871</v>
      </c>
      <c r="G132" s="4">
        <v>255.50414000000001</v>
      </c>
      <c r="H132" s="4">
        <v>339.05284999999998</v>
      </c>
      <c r="I132" s="4">
        <v>15.187250000000001</v>
      </c>
      <c r="J132" s="4">
        <v>37.023710000000001</v>
      </c>
      <c r="K132" s="6">
        <v>54.306579999999997</v>
      </c>
      <c r="L132" s="4">
        <v>76.629760000000005</v>
      </c>
    </row>
    <row r="133" spans="1:12" ht="18.399999999999999" x14ac:dyDescent="0.45">
      <c r="A133" s="1">
        <v>1390</v>
      </c>
      <c r="B133" s="1" t="s">
        <v>299</v>
      </c>
      <c r="C133" s="2" t="s">
        <v>131</v>
      </c>
      <c r="D133" s="5">
        <v>18926</v>
      </c>
      <c r="E133" s="4">
        <v>76.456850000000003</v>
      </c>
      <c r="F133" s="4">
        <v>87.415869999999998</v>
      </c>
      <c r="G133" s="4">
        <v>264.80453999999997</v>
      </c>
      <c r="H133" s="4">
        <v>352.22041000000002</v>
      </c>
      <c r="I133" s="4">
        <v>9.3867999999999991</v>
      </c>
      <c r="J133" s="4">
        <v>43.368040000000001</v>
      </c>
      <c r="K133" s="6">
        <v>41.830339999999993</v>
      </c>
      <c r="L133" s="4">
        <v>83.549859999999995</v>
      </c>
    </row>
    <row r="134" spans="1:12" ht="18.399999999999999" x14ac:dyDescent="0.45">
      <c r="A134" s="1">
        <v>1391</v>
      </c>
      <c r="B134" s="1" t="s">
        <v>288</v>
      </c>
      <c r="C134" s="2" t="s">
        <v>132</v>
      </c>
      <c r="D134" s="5">
        <v>18776</v>
      </c>
      <c r="E134" s="4">
        <v>76.003599999999992</v>
      </c>
      <c r="F134" s="4">
        <v>84.904590000000013</v>
      </c>
      <c r="G134" s="4">
        <v>273.89202999999998</v>
      </c>
      <c r="H134" s="4">
        <v>358.79662000000002</v>
      </c>
      <c r="I134" s="4">
        <v>13.15188</v>
      </c>
      <c r="J134" s="4">
        <v>43.022869999999998</v>
      </c>
      <c r="K134" s="6">
        <v>52.123049999999999</v>
      </c>
      <c r="L134" s="4">
        <v>82.305160000000001</v>
      </c>
    </row>
    <row r="135" spans="1:12" ht="18.399999999999999" x14ac:dyDescent="0.45">
      <c r="A135" s="1">
        <v>1391</v>
      </c>
      <c r="B135" s="1" t="s">
        <v>289</v>
      </c>
      <c r="C135" s="2" t="s">
        <v>133</v>
      </c>
      <c r="D135" s="5">
        <v>16987</v>
      </c>
      <c r="E135" s="4">
        <v>78.630449999999996</v>
      </c>
      <c r="F135" s="4">
        <v>86.864549999999994</v>
      </c>
      <c r="G135" s="4">
        <v>284.04005000000001</v>
      </c>
      <c r="H135" s="4">
        <v>370.90459999999996</v>
      </c>
      <c r="I135" s="4">
        <v>14.21223</v>
      </c>
      <c r="J135" s="4">
        <v>44.387109999999993</v>
      </c>
      <c r="K135" s="6">
        <v>52.88279</v>
      </c>
      <c r="L135" s="4">
        <v>80.623080000000002</v>
      </c>
    </row>
    <row r="136" spans="1:12" ht="18.399999999999999" x14ac:dyDescent="0.45">
      <c r="A136" s="1">
        <v>1391</v>
      </c>
      <c r="B136" s="1" t="s">
        <v>290</v>
      </c>
      <c r="C136" s="2" t="s">
        <v>134</v>
      </c>
      <c r="D136" s="5">
        <v>17698</v>
      </c>
      <c r="E136" s="4">
        <v>80.693950000000001</v>
      </c>
      <c r="F136" s="4">
        <v>87.932060000000007</v>
      </c>
      <c r="G136" s="4">
        <v>288.80222000000003</v>
      </c>
      <c r="H136" s="4">
        <v>376.73428000000001</v>
      </c>
      <c r="I136" s="4">
        <v>13.1534</v>
      </c>
      <c r="J136" s="4">
        <v>45.050390000000007</v>
      </c>
      <c r="K136" s="6">
        <v>53.6023</v>
      </c>
      <c r="L136" s="4">
        <v>80.819940000000003</v>
      </c>
    </row>
    <row r="137" spans="1:12" ht="18.399999999999999" x14ac:dyDescent="0.45">
      <c r="A137" s="1">
        <v>1391</v>
      </c>
      <c r="B137" s="1" t="s">
        <v>291</v>
      </c>
      <c r="C137" s="2" t="s">
        <v>135</v>
      </c>
      <c r="D137" s="5">
        <v>19261</v>
      </c>
      <c r="E137" s="4">
        <v>81.073930000000004</v>
      </c>
      <c r="F137" s="4">
        <v>92.19417</v>
      </c>
      <c r="G137" s="4">
        <v>295.39902000000001</v>
      </c>
      <c r="H137" s="4">
        <v>387.59318999999999</v>
      </c>
      <c r="I137" s="4">
        <v>15.771370000000001</v>
      </c>
      <c r="J137" s="4">
        <v>45.981349999999999</v>
      </c>
      <c r="K137" s="6">
        <v>53.254209999999986</v>
      </c>
      <c r="L137" s="4">
        <v>76.661370000000005</v>
      </c>
    </row>
    <row r="138" spans="1:12" ht="18.399999999999999" x14ac:dyDescent="0.45">
      <c r="A138" s="1">
        <v>1391</v>
      </c>
      <c r="B138" s="1" t="s">
        <v>292</v>
      </c>
      <c r="C138" s="2" t="s">
        <v>136</v>
      </c>
      <c r="D138" s="5">
        <v>20464</v>
      </c>
      <c r="E138" s="4">
        <v>81.469279999999998</v>
      </c>
      <c r="F138" s="4">
        <v>89.219639999999998</v>
      </c>
      <c r="G138" s="4">
        <v>303.63150000000002</v>
      </c>
      <c r="H138" s="4">
        <v>392.85113999999999</v>
      </c>
      <c r="I138" s="4">
        <v>16.7348</v>
      </c>
      <c r="J138" s="4">
        <v>47.112780000000001</v>
      </c>
      <c r="K138" s="6">
        <v>50.08869</v>
      </c>
      <c r="L138" s="4">
        <v>76.000399999999999</v>
      </c>
    </row>
    <row r="139" spans="1:12" ht="18.399999999999999" x14ac:dyDescent="0.45">
      <c r="A139" s="1">
        <v>1391</v>
      </c>
      <c r="B139" s="1" t="s">
        <v>293</v>
      </c>
      <c r="C139" s="2" t="s">
        <v>137</v>
      </c>
      <c r="D139" s="5">
        <v>23214</v>
      </c>
      <c r="E139" s="4">
        <v>83.375790000000009</v>
      </c>
      <c r="F139" s="4">
        <v>91.538880000000006</v>
      </c>
      <c r="G139" s="4">
        <v>310.83110999999997</v>
      </c>
      <c r="H139" s="4">
        <v>402.36999000000003</v>
      </c>
      <c r="I139" s="4">
        <v>16.843879999999999</v>
      </c>
      <c r="J139" s="4">
        <v>47.981109999999994</v>
      </c>
      <c r="K139" s="6">
        <v>48.073240000000006</v>
      </c>
      <c r="L139" s="4">
        <v>79.83878</v>
      </c>
    </row>
    <row r="140" spans="1:12" ht="18.399999999999999" x14ac:dyDescent="0.45">
      <c r="A140" s="1">
        <v>1391</v>
      </c>
      <c r="B140" s="1" t="s">
        <v>294</v>
      </c>
      <c r="C140" s="2" t="s">
        <v>138</v>
      </c>
      <c r="D140" s="5">
        <v>31424</v>
      </c>
      <c r="E140" s="4">
        <v>85.048649999999995</v>
      </c>
      <c r="F140" s="4">
        <v>97.16113</v>
      </c>
      <c r="G140" s="4">
        <v>315.81849999999997</v>
      </c>
      <c r="H140" s="4">
        <v>412.97962999999999</v>
      </c>
      <c r="I140" s="4">
        <v>18.7867</v>
      </c>
      <c r="J140" s="4">
        <v>49.624029999999998</v>
      </c>
      <c r="K140" s="6">
        <v>48.632649999999998</v>
      </c>
      <c r="L140" s="4">
        <v>77.889449999999997</v>
      </c>
    </row>
    <row r="141" spans="1:12" ht="18.399999999999999" x14ac:dyDescent="0.45">
      <c r="A141" s="1">
        <v>1391</v>
      </c>
      <c r="B141" s="1" t="s">
        <v>295</v>
      </c>
      <c r="C141" s="2" t="s">
        <v>139</v>
      </c>
      <c r="D141" s="5">
        <v>27600</v>
      </c>
      <c r="E141" s="4">
        <v>87.351460000000003</v>
      </c>
      <c r="F141" s="4">
        <v>98.235649999999993</v>
      </c>
      <c r="G141" s="4">
        <v>326.05525</v>
      </c>
      <c r="H141" s="4">
        <v>424.29089999999997</v>
      </c>
      <c r="I141" s="4">
        <v>15.965970000000002</v>
      </c>
      <c r="J141" s="4">
        <v>50.289409999999997</v>
      </c>
      <c r="K141" s="6">
        <v>47.688390000000005</v>
      </c>
      <c r="L141" s="4">
        <v>80.333879999999994</v>
      </c>
    </row>
    <row r="142" spans="1:12" ht="18.399999999999999" x14ac:dyDescent="0.45">
      <c r="A142" s="1">
        <v>1391</v>
      </c>
      <c r="B142" s="1" t="s">
        <v>296</v>
      </c>
      <c r="C142" s="2" t="s">
        <v>140</v>
      </c>
      <c r="D142" s="5">
        <v>31200</v>
      </c>
      <c r="E142" s="4">
        <v>87.802080000000004</v>
      </c>
      <c r="F142" s="4">
        <v>97.640559999999994</v>
      </c>
      <c r="G142" s="4">
        <v>332.40684999999996</v>
      </c>
      <c r="H142" s="4">
        <v>430.04740999999996</v>
      </c>
      <c r="I142" s="4">
        <v>17.811630000000001</v>
      </c>
      <c r="J142" s="4">
        <v>50.94359</v>
      </c>
      <c r="K142" s="6">
        <v>47.895889999999994</v>
      </c>
      <c r="L142" s="4">
        <v>81.175309999999996</v>
      </c>
    </row>
    <row r="143" spans="1:12" ht="18.399999999999999" x14ac:dyDescent="0.45">
      <c r="A143" s="1">
        <v>1391</v>
      </c>
      <c r="B143" s="1" t="s">
        <v>297</v>
      </c>
      <c r="C143" s="2" t="s">
        <v>141</v>
      </c>
      <c r="D143" s="5">
        <v>33600</v>
      </c>
      <c r="E143" s="4">
        <v>88.553550000000001</v>
      </c>
      <c r="F143" s="4">
        <v>105.38479</v>
      </c>
      <c r="G143" s="4">
        <v>332.82044000000002</v>
      </c>
      <c r="H143" s="4">
        <v>438.20522999999991</v>
      </c>
      <c r="I143" s="4">
        <v>17.08024</v>
      </c>
      <c r="J143" s="4">
        <v>53.223599999999998</v>
      </c>
      <c r="K143" s="6">
        <v>50.459980000000002</v>
      </c>
      <c r="L143" s="4">
        <v>81.433570000000003</v>
      </c>
    </row>
    <row r="144" spans="1:12" ht="18.399999999999999" x14ac:dyDescent="0.45">
      <c r="A144" s="1">
        <v>1391</v>
      </c>
      <c r="B144" s="1" t="s">
        <v>298</v>
      </c>
      <c r="C144" s="2" t="s">
        <v>142</v>
      </c>
      <c r="D144" s="5">
        <v>37200</v>
      </c>
      <c r="E144" s="4">
        <v>89.609530000000007</v>
      </c>
      <c r="F144" s="4">
        <v>110.76816999999998</v>
      </c>
      <c r="G144" s="4">
        <v>337.46481</v>
      </c>
      <c r="H144" s="4">
        <v>448.23297999999994</v>
      </c>
      <c r="I144" s="4">
        <v>15.771789999999999</v>
      </c>
      <c r="J144" s="4">
        <v>53.939119999999988</v>
      </c>
      <c r="K144" s="6">
        <v>52.249199999999995</v>
      </c>
      <c r="L144" s="4">
        <v>85.908629999999988</v>
      </c>
    </row>
    <row r="145" spans="1:12" ht="18.399999999999999" x14ac:dyDescent="0.45">
      <c r="A145" s="1">
        <v>1391</v>
      </c>
      <c r="B145" s="1" t="s">
        <v>299</v>
      </c>
      <c r="C145" s="2" t="s">
        <v>143</v>
      </c>
      <c r="D145" s="5">
        <v>34300</v>
      </c>
      <c r="E145" s="4">
        <v>97.579509999999999</v>
      </c>
      <c r="F145" s="4">
        <v>113.67177</v>
      </c>
      <c r="G145" s="4">
        <v>347.02182000000005</v>
      </c>
      <c r="H145" s="4">
        <v>460.69359000000003</v>
      </c>
      <c r="I145" s="4">
        <v>13.16147</v>
      </c>
      <c r="J145" s="4">
        <v>56.737499999999997</v>
      </c>
      <c r="K145" s="6">
        <v>48.831379999999996</v>
      </c>
      <c r="L145" s="4">
        <v>89.970609999999994</v>
      </c>
    </row>
    <row r="146" spans="1:12" ht="18.399999999999999" x14ac:dyDescent="0.45">
      <c r="A146" s="1">
        <v>1392</v>
      </c>
      <c r="B146" s="1" t="s">
        <v>288</v>
      </c>
      <c r="C146" s="2" t="s">
        <v>144</v>
      </c>
      <c r="D146" s="5">
        <v>35200</v>
      </c>
      <c r="E146" s="4">
        <v>90.923419999999993</v>
      </c>
      <c r="F146" s="4">
        <v>106.76848</v>
      </c>
      <c r="G146" s="4">
        <v>353.72982000000002</v>
      </c>
      <c r="H146" s="4">
        <v>460.49830000000003</v>
      </c>
      <c r="I146" s="4">
        <v>16.429880000000001</v>
      </c>
      <c r="J146" s="4">
        <v>58.792560000000002</v>
      </c>
      <c r="K146" s="6">
        <v>52.013110000000005</v>
      </c>
      <c r="L146" s="4">
        <v>89.13685000000001</v>
      </c>
    </row>
    <row r="147" spans="1:12" ht="18.399999999999999" x14ac:dyDescent="0.45">
      <c r="A147" s="1">
        <v>1392</v>
      </c>
      <c r="B147" s="1" t="s">
        <v>289</v>
      </c>
      <c r="C147" s="2" t="s">
        <v>145</v>
      </c>
      <c r="D147" s="5">
        <v>35150</v>
      </c>
      <c r="E147" s="4">
        <v>90.801450000000003</v>
      </c>
      <c r="F147" s="4">
        <v>109.11671999999999</v>
      </c>
      <c r="G147" s="4">
        <v>357.86239999999998</v>
      </c>
      <c r="H147" s="4">
        <v>466.97912000000008</v>
      </c>
      <c r="I147" s="4">
        <v>15.501520000000003</v>
      </c>
      <c r="J147" s="4">
        <v>58.813019999999995</v>
      </c>
      <c r="K147" s="6">
        <v>52.045399999999994</v>
      </c>
      <c r="L147" s="4">
        <v>92.209850000000003</v>
      </c>
    </row>
    <row r="148" spans="1:12" ht="18.399999999999999" x14ac:dyDescent="0.45">
      <c r="A148" s="1">
        <v>1392</v>
      </c>
      <c r="B148" s="1" t="s">
        <v>290</v>
      </c>
      <c r="C148" s="2" t="s">
        <v>146</v>
      </c>
      <c r="D148" s="5">
        <v>33200</v>
      </c>
      <c r="E148" s="4">
        <v>91.77176</v>
      </c>
      <c r="F148" s="4">
        <v>107.1249</v>
      </c>
      <c r="G148" s="4">
        <v>365.82814999999999</v>
      </c>
      <c r="H148" s="4">
        <v>472.95304999999996</v>
      </c>
      <c r="I148" s="4">
        <v>17.01615</v>
      </c>
      <c r="J148" s="4">
        <v>61.685259999999992</v>
      </c>
      <c r="K148" s="6">
        <v>53.008720000000004</v>
      </c>
      <c r="L148" s="4">
        <v>92.536740000000009</v>
      </c>
    </row>
    <row r="149" spans="1:12" ht="18.399999999999999" x14ac:dyDescent="0.45">
      <c r="A149" s="1">
        <v>1392</v>
      </c>
      <c r="B149" s="1" t="s">
        <v>291</v>
      </c>
      <c r="C149" s="2" t="s">
        <v>147</v>
      </c>
      <c r="D149" s="5">
        <v>31600</v>
      </c>
      <c r="E149" s="4">
        <v>95.804650000000009</v>
      </c>
      <c r="F149" s="4">
        <v>107.70716999999999</v>
      </c>
      <c r="G149" s="4">
        <v>371.96671000000003</v>
      </c>
      <c r="H149" s="4">
        <v>479.67388</v>
      </c>
      <c r="I149" s="4">
        <v>18.92604</v>
      </c>
      <c r="J149" s="4">
        <v>62.853409999999997</v>
      </c>
      <c r="K149" s="6">
        <v>57.696000000000005</v>
      </c>
      <c r="L149" s="4">
        <v>170.00207999999998</v>
      </c>
    </row>
    <row r="150" spans="1:12" ht="18.399999999999999" x14ac:dyDescent="0.45">
      <c r="A150" s="1">
        <v>1392</v>
      </c>
      <c r="B150" s="1" t="s">
        <v>292</v>
      </c>
      <c r="C150" s="2" t="s">
        <v>148</v>
      </c>
      <c r="D150" s="5">
        <v>31200</v>
      </c>
      <c r="E150" s="4">
        <v>96.3643</v>
      </c>
      <c r="F150" s="4">
        <v>106.27903000000001</v>
      </c>
      <c r="G150" s="4">
        <v>385.54516000000001</v>
      </c>
      <c r="H150" s="4">
        <v>491.82418999999999</v>
      </c>
      <c r="I150" s="4">
        <v>15.835290000000001</v>
      </c>
      <c r="J150" s="4">
        <v>64.026880000000006</v>
      </c>
      <c r="K150" s="6">
        <v>55.769309999999997</v>
      </c>
      <c r="L150" s="4">
        <v>170.28984</v>
      </c>
    </row>
    <row r="151" spans="1:12" ht="18.399999999999999" x14ac:dyDescent="0.45">
      <c r="A151" s="1">
        <v>1392</v>
      </c>
      <c r="B151" s="1" t="s">
        <v>293</v>
      </c>
      <c r="C151" s="2" t="s">
        <v>149</v>
      </c>
      <c r="D151" s="5">
        <v>29350</v>
      </c>
      <c r="E151" s="4">
        <v>96.123530000000002</v>
      </c>
      <c r="F151" s="4">
        <v>110.15236999999999</v>
      </c>
      <c r="G151" s="4">
        <v>396.24408</v>
      </c>
      <c r="H151" s="4">
        <v>506.39645000000002</v>
      </c>
      <c r="I151" s="4">
        <v>14.991589999999999</v>
      </c>
      <c r="J151" s="4">
        <v>66.364180000000005</v>
      </c>
      <c r="K151" s="6">
        <v>55.646910000000005</v>
      </c>
      <c r="L151" s="4">
        <v>179.02035000000001</v>
      </c>
    </row>
    <row r="152" spans="1:12" ht="18.399999999999999" x14ac:dyDescent="0.45">
      <c r="A152" s="1">
        <v>1392</v>
      </c>
      <c r="B152" s="1" t="s">
        <v>294</v>
      </c>
      <c r="C152" s="2" t="s">
        <v>150</v>
      </c>
      <c r="D152" s="5">
        <v>30100</v>
      </c>
      <c r="E152" s="4">
        <v>95.260199999999998</v>
      </c>
      <c r="F152" s="4">
        <v>107.28396000000001</v>
      </c>
      <c r="G152" s="4">
        <v>406.49581000000001</v>
      </c>
      <c r="H152" s="4">
        <v>513.77976999999998</v>
      </c>
      <c r="I152" s="4">
        <v>14.803979999999999</v>
      </c>
      <c r="J152" s="4">
        <v>67.519899999999993</v>
      </c>
      <c r="K152" s="6">
        <v>57.647130000000004</v>
      </c>
      <c r="L152" s="4">
        <v>181.05144999999999</v>
      </c>
    </row>
    <row r="153" spans="1:12" ht="18.399999999999999" x14ac:dyDescent="0.45">
      <c r="A153" s="1">
        <v>1392</v>
      </c>
      <c r="B153" s="1" t="s">
        <v>295</v>
      </c>
      <c r="C153" s="2" t="s">
        <v>151</v>
      </c>
      <c r="D153" s="5">
        <v>30100</v>
      </c>
      <c r="E153" s="4">
        <v>96.718899999999991</v>
      </c>
      <c r="F153" s="4">
        <v>105.05256999999999</v>
      </c>
      <c r="G153" s="4">
        <v>425.66003000000001</v>
      </c>
      <c r="H153" s="4">
        <v>530.71260000000007</v>
      </c>
      <c r="I153" s="4">
        <v>14.92184</v>
      </c>
      <c r="J153" s="4">
        <v>68.484219999999993</v>
      </c>
      <c r="K153" s="6">
        <v>57.233289999999997</v>
      </c>
      <c r="L153" s="4">
        <v>181.67487</v>
      </c>
    </row>
    <row r="154" spans="1:12" ht="18.399999999999999" x14ac:dyDescent="0.45">
      <c r="A154" s="1">
        <v>1392</v>
      </c>
      <c r="B154" s="1" t="s">
        <v>296</v>
      </c>
      <c r="C154" s="2" t="s">
        <v>152</v>
      </c>
      <c r="D154" s="5">
        <v>29440</v>
      </c>
      <c r="E154" s="4">
        <v>99.34205</v>
      </c>
      <c r="F154" s="4">
        <v>107.93686</v>
      </c>
      <c r="G154" s="4">
        <v>442.83242000000001</v>
      </c>
      <c r="H154" s="4">
        <v>550.76927999999998</v>
      </c>
      <c r="I154" s="4">
        <v>16.753899999999998</v>
      </c>
      <c r="J154" s="4">
        <v>68.609970000000004</v>
      </c>
      <c r="K154" s="6">
        <v>56.543190000000003</v>
      </c>
      <c r="L154" s="4">
        <v>186.06341</v>
      </c>
    </row>
    <row r="155" spans="1:12" ht="18.399999999999999" x14ac:dyDescent="0.45">
      <c r="A155" s="1">
        <v>1392</v>
      </c>
      <c r="B155" s="1" t="s">
        <v>297</v>
      </c>
      <c r="C155" s="2" t="s">
        <v>153</v>
      </c>
      <c r="D155" s="5">
        <v>28850</v>
      </c>
      <c r="E155" s="4">
        <v>99.623410000000007</v>
      </c>
      <c r="F155" s="4">
        <v>109.44386999999999</v>
      </c>
      <c r="G155" s="4">
        <v>451.12762000000004</v>
      </c>
      <c r="H155" s="4">
        <v>560.57149000000004</v>
      </c>
      <c r="I155" s="4">
        <v>13.488070000000002</v>
      </c>
      <c r="J155" s="4">
        <v>69.884870000000006</v>
      </c>
      <c r="K155" s="6">
        <v>62.127139999999997</v>
      </c>
      <c r="L155" s="4">
        <v>186.02895000000001</v>
      </c>
    </row>
    <row r="156" spans="1:12" ht="18.399999999999999" x14ac:dyDescent="0.45">
      <c r="A156" s="1">
        <v>1392</v>
      </c>
      <c r="B156" s="1" t="s">
        <v>298</v>
      </c>
      <c r="C156" s="2" t="s">
        <v>154</v>
      </c>
      <c r="D156" s="5">
        <v>29530</v>
      </c>
      <c r="E156" s="4">
        <v>102.64853000000001</v>
      </c>
      <c r="F156" s="4">
        <v>112.12931</v>
      </c>
      <c r="G156" s="4">
        <v>463.15477999999996</v>
      </c>
      <c r="H156" s="4">
        <v>575.28408999999999</v>
      </c>
      <c r="I156" s="4">
        <v>15.83717</v>
      </c>
      <c r="J156" s="4">
        <v>71.249179999999996</v>
      </c>
      <c r="K156" s="6">
        <v>62.083809999999993</v>
      </c>
      <c r="L156" s="4">
        <v>189.48646000000002</v>
      </c>
    </row>
    <row r="157" spans="1:12" ht="18.399999999999999" x14ac:dyDescent="0.45">
      <c r="A157" s="1">
        <v>1392</v>
      </c>
      <c r="B157" s="1" t="s">
        <v>299</v>
      </c>
      <c r="C157" s="2" t="s">
        <v>155</v>
      </c>
      <c r="D157" s="5">
        <v>30250</v>
      </c>
      <c r="E157" s="4">
        <v>114.94358</v>
      </c>
      <c r="F157" s="4">
        <v>119.23308</v>
      </c>
      <c r="G157" s="4">
        <v>475.55227000000002</v>
      </c>
      <c r="H157" s="4">
        <v>594.78534999999999</v>
      </c>
      <c r="I157" s="4">
        <v>15.82713</v>
      </c>
      <c r="J157" s="4">
        <v>72.724980000000002</v>
      </c>
      <c r="K157" s="6">
        <v>59.547499999999999</v>
      </c>
      <c r="L157" s="4">
        <v>203.41662000000002</v>
      </c>
    </row>
    <row r="158" spans="1:12" ht="18.399999999999999" x14ac:dyDescent="0.45">
      <c r="A158" s="1">
        <v>1393</v>
      </c>
      <c r="B158" s="1" t="s">
        <v>288</v>
      </c>
      <c r="C158" s="2" t="s">
        <v>156</v>
      </c>
      <c r="D158" s="5">
        <v>32150</v>
      </c>
      <c r="E158" s="4">
        <v>111.2684</v>
      </c>
      <c r="F158" s="4">
        <v>115.25762999999999</v>
      </c>
      <c r="G158" s="4">
        <v>487.37794999999994</v>
      </c>
      <c r="H158" s="4">
        <v>602.63557999999989</v>
      </c>
      <c r="I158" s="4">
        <v>22.345410000000001</v>
      </c>
      <c r="J158" s="4">
        <v>74.219590000000011</v>
      </c>
      <c r="K158" s="6">
        <v>64.00721999999999</v>
      </c>
      <c r="L158" s="4">
        <v>203.83421000000001</v>
      </c>
    </row>
    <row r="159" spans="1:12" ht="18.399999999999999" x14ac:dyDescent="0.45">
      <c r="A159" s="1">
        <v>1393</v>
      </c>
      <c r="B159" s="1" t="s">
        <v>289</v>
      </c>
      <c r="C159" s="2" t="s">
        <v>157</v>
      </c>
      <c r="D159" s="5">
        <v>33000</v>
      </c>
      <c r="E159" s="4">
        <v>111.00946000000002</v>
      </c>
      <c r="F159" s="4">
        <v>112.81634</v>
      </c>
      <c r="G159" s="4">
        <v>490.68712000000005</v>
      </c>
      <c r="H159" s="4">
        <v>603.50346000000002</v>
      </c>
      <c r="I159" s="4">
        <v>22.314370000000004</v>
      </c>
      <c r="J159" s="4">
        <v>75.977440000000001</v>
      </c>
      <c r="K159" s="6">
        <v>66.903329999999997</v>
      </c>
      <c r="L159" s="4">
        <v>209.25832</v>
      </c>
    </row>
    <row r="160" spans="1:12" ht="18.399999999999999" x14ac:dyDescent="0.45">
      <c r="A160" s="1">
        <v>1393</v>
      </c>
      <c r="B160" s="1" t="s">
        <v>290</v>
      </c>
      <c r="C160" s="2" t="s">
        <v>158</v>
      </c>
      <c r="D160" s="5">
        <v>32140</v>
      </c>
      <c r="E160" s="4">
        <v>112.27482999999999</v>
      </c>
      <c r="F160" s="4">
        <v>114.37403999999999</v>
      </c>
      <c r="G160" s="4">
        <v>503.71175999999997</v>
      </c>
      <c r="H160" s="4">
        <v>618.08580000000006</v>
      </c>
      <c r="I160" s="4">
        <v>19.114270000000001</v>
      </c>
      <c r="J160" s="4">
        <v>81.837890000000002</v>
      </c>
      <c r="K160" s="6">
        <v>65.598530000000011</v>
      </c>
      <c r="L160" s="4">
        <v>207.31522000000001</v>
      </c>
    </row>
    <row r="161" spans="1:12" ht="18.399999999999999" x14ac:dyDescent="0.45">
      <c r="A161" s="1">
        <v>1393</v>
      </c>
      <c r="B161" s="1" t="s">
        <v>291</v>
      </c>
      <c r="C161" s="2" t="s">
        <v>159</v>
      </c>
      <c r="D161" s="5">
        <v>31370</v>
      </c>
      <c r="E161" s="4">
        <v>108.19455000000001</v>
      </c>
      <c r="F161" s="4">
        <v>118.01526000000001</v>
      </c>
      <c r="G161" s="4">
        <v>511.23984000000002</v>
      </c>
      <c r="H161" s="4">
        <v>629.25510000000008</v>
      </c>
      <c r="I161" s="4">
        <v>15.540879999999998</v>
      </c>
      <c r="J161" s="4">
        <v>83.11339000000001</v>
      </c>
      <c r="K161" s="6">
        <v>68.628469999999993</v>
      </c>
      <c r="L161" s="4">
        <v>211.05181999999999</v>
      </c>
    </row>
    <row r="162" spans="1:12" ht="18.399999999999999" x14ac:dyDescent="0.45">
      <c r="A162" s="1">
        <v>1393</v>
      </c>
      <c r="B162" s="1" t="s">
        <v>292</v>
      </c>
      <c r="C162" s="2" t="s">
        <v>160</v>
      </c>
      <c r="D162" s="5">
        <v>31000</v>
      </c>
      <c r="E162" s="4">
        <v>110.11018999999999</v>
      </c>
      <c r="F162" s="4">
        <v>116.64077</v>
      </c>
      <c r="G162" s="4">
        <v>524.12428999999997</v>
      </c>
      <c r="H162" s="4">
        <v>640.76505999999995</v>
      </c>
      <c r="I162" s="4">
        <v>15.462039999999998</v>
      </c>
      <c r="J162" s="4">
        <v>85.605190000000007</v>
      </c>
      <c r="K162" s="6">
        <v>63.436950000000003</v>
      </c>
      <c r="L162" s="4">
        <v>215.90644000000003</v>
      </c>
    </row>
    <row r="163" spans="1:12" ht="18.399999999999999" x14ac:dyDescent="0.45">
      <c r="A163" s="1">
        <v>1393</v>
      </c>
      <c r="B163" s="1" t="s">
        <v>293</v>
      </c>
      <c r="C163" s="2" t="s">
        <v>161</v>
      </c>
      <c r="D163" s="5">
        <v>31740</v>
      </c>
      <c r="E163" s="4">
        <v>111.04813000000001</v>
      </c>
      <c r="F163" s="4">
        <v>119.86361000000002</v>
      </c>
      <c r="G163" s="4">
        <v>533.95280000000002</v>
      </c>
      <c r="H163" s="4">
        <v>653.81641000000002</v>
      </c>
      <c r="I163" s="4">
        <v>15.39906</v>
      </c>
      <c r="J163" s="4">
        <v>90.278630000000007</v>
      </c>
      <c r="K163" s="6">
        <v>68.16995</v>
      </c>
      <c r="L163" s="4">
        <v>212.29277999999999</v>
      </c>
    </row>
    <row r="164" spans="1:12" ht="18.399999999999999" x14ac:dyDescent="0.45">
      <c r="A164" s="1">
        <v>1393</v>
      </c>
      <c r="B164" s="1" t="s">
        <v>294</v>
      </c>
      <c r="C164" s="2" t="s">
        <v>162</v>
      </c>
      <c r="D164" s="5">
        <v>32300</v>
      </c>
      <c r="E164" s="4">
        <v>117.18746999999999</v>
      </c>
      <c r="F164" s="4">
        <v>117.87249999999999</v>
      </c>
      <c r="G164" s="4">
        <v>598.61985000000004</v>
      </c>
      <c r="H164" s="4">
        <v>716.49234999999999</v>
      </c>
      <c r="I164" s="4">
        <v>15.38251</v>
      </c>
      <c r="J164" s="4">
        <v>91.032209999999992</v>
      </c>
      <c r="K164" s="6">
        <v>73.137740000000008</v>
      </c>
      <c r="L164" s="4">
        <v>211.74525</v>
      </c>
    </row>
    <row r="165" spans="1:12" ht="18.399999999999999" x14ac:dyDescent="0.45">
      <c r="A165" s="1">
        <v>1393</v>
      </c>
      <c r="B165" s="1" t="s">
        <v>295</v>
      </c>
      <c r="C165" s="2" t="s">
        <v>163</v>
      </c>
      <c r="D165" s="5">
        <v>32540</v>
      </c>
      <c r="E165" s="4">
        <v>118.44796000000001</v>
      </c>
      <c r="F165" s="4">
        <v>115.43648</v>
      </c>
      <c r="G165" s="4">
        <v>612.04261999999994</v>
      </c>
      <c r="H165" s="4">
        <v>727.47910000000002</v>
      </c>
      <c r="I165" s="4">
        <v>16.006710000000002</v>
      </c>
      <c r="J165" s="4">
        <v>92.47681</v>
      </c>
      <c r="K165" s="6">
        <v>73.949950000000001</v>
      </c>
      <c r="L165" s="4">
        <v>209.16126</v>
      </c>
    </row>
    <row r="166" spans="1:12" ht="18.399999999999999" x14ac:dyDescent="0.45">
      <c r="A166" s="1">
        <v>1393</v>
      </c>
      <c r="B166" s="1" t="s">
        <v>296</v>
      </c>
      <c r="C166" s="3" t="s">
        <v>164</v>
      </c>
      <c r="D166" s="7">
        <v>35100</v>
      </c>
      <c r="E166" s="4">
        <v>120.31723</v>
      </c>
      <c r="F166" s="4">
        <v>115.57758999999999</v>
      </c>
      <c r="G166" s="4">
        <v>626.80215999999996</v>
      </c>
      <c r="H166" s="4">
        <v>742.37974999999994</v>
      </c>
      <c r="I166" s="4">
        <v>19.256120000000003</v>
      </c>
      <c r="J166" s="4">
        <v>93.297840000000008</v>
      </c>
      <c r="K166" s="6">
        <v>77.352620000000002</v>
      </c>
      <c r="L166" s="4">
        <v>208.33018999999999</v>
      </c>
    </row>
    <row r="167" spans="1:12" ht="18.399999999999999" x14ac:dyDescent="0.45">
      <c r="A167" s="1">
        <v>1393</v>
      </c>
      <c r="B167" s="1" t="s">
        <v>297</v>
      </c>
      <c r="C167" s="2" t="s">
        <v>165</v>
      </c>
      <c r="D167" s="5">
        <v>34850</v>
      </c>
      <c r="E167" s="4">
        <v>121.82219000000001</v>
      </c>
      <c r="F167" s="4">
        <v>109.99535</v>
      </c>
      <c r="G167" s="4">
        <v>636.14643000000001</v>
      </c>
      <c r="H167" s="4">
        <v>746.14178000000004</v>
      </c>
      <c r="I167" s="4">
        <v>22.558320000000002</v>
      </c>
      <c r="J167" s="4">
        <v>94.254559999999998</v>
      </c>
      <c r="K167" s="6">
        <v>82.969619999999992</v>
      </c>
      <c r="L167" s="4">
        <v>203.94836000000001</v>
      </c>
    </row>
    <row r="168" spans="1:12" ht="18.399999999999999" x14ac:dyDescent="0.45">
      <c r="A168" s="1">
        <v>1393</v>
      </c>
      <c r="B168" s="1" t="s">
        <v>298</v>
      </c>
      <c r="C168" s="2" t="s">
        <v>166</v>
      </c>
      <c r="D168" s="5">
        <v>34230</v>
      </c>
      <c r="E168" s="4">
        <v>125.40099000000001</v>
      </c>
      <c r="F168" s="4">
        <v>111.85728000000002</v>
      </c>
      <c r="G168" s="4">
        <v>646.24660999999992</v>
      </c>
      <c r="H168" s="4">
        <v>758.10389000000009</v>
      </c>
      <c r="I168" s="4">
        <v>22.551960000000001</v>
      </c>
      <c r="J168" s="4">
        <v>95.556889999999996</v>
      </c>
      <c r="K168" s="6">
        <v>86.439350000000005</v>
      </c>
      <c r="L168" s="4">
        <v>201.79868000000002</v>
      </c>
    </row>
    <row r="169" spans="1:12" ht="18.399999999999999" x14ac:dyDescent="0.45">
      <c r="A169" s="1">
        <v>1393</v>
      </c>
      <c r="B169" s="1" t="s">
        <v>299</v>
      </c>
      <c r="C169" s="2" t="s">
        <v>167</v>
      </c>
      <c r="D169" s="5">
        <v>33450</v>
      </c>
      <c r="E169" s="4">
        <v>131.14792</v>
      </c>
      <c r="F169" s="4">
        <v>120.75591999999999</v>
      </c>
      <c r="G169" s="4">
        <v>661.62887000000001</v>
      </c>
      <c r="H169" s="4">
        <v>782.38479000000007</v>
      </c>
      <c r="I169" s="4">
        <v>18.358250000000002</v>
      </c>
      <c r="J169" s="4">
        <v>100.48040999999999</v>
      </c>
      <c r="K169" s="6">
        <v>85.804879999999997</v>
      </c>
      <c r="L169" s="4">
        <v>202.67129</v>
      </c>
    </row>
    <row r="170" spans="1:12" ht="18.399999999999999" x14ac:dyDescent="0.45">
      <c r="A170" s="1">
        <v>1394</v>
      </c>
      <c r="B170" s="1" t="s">
        <v>288</v>
      </c>
      <c r="C170" s="2" t="s">
        <v>168</v>
      </c>
      <c r="D170" s="5">
        <v>33430</v>
      </c>
      <c r="E170" s="4">
        <v>130.53</v>
      </c>
      <c r="F170" s="4">
        <v>113.84</v>
      </c>
      <c r="G170" s="4">
        <v>674.92</v>
      </c>
      <c r="H170" s="4">
        <v>788.76</v>
      </c>
      <c r="I170" s="4">
        <v>22.52</v>
      </c>
      <c r="J170" s="4">
        <v>101.88</v>
      </c>
      <c r="K170" s="6">
        <v>84.38000000000001</v>
      </c>
      <c r="L170" s="4">
        <v>202.4</v>
      </c>
    </row>
    <row r="171" spans="1:12" ht="18.399999999999999" x14ac:dyDescent="0.45">
      <c r="A171" s="1">
        <v>1394</v>
      </c>
      <c r="B171" s="1" t="s">
        <v>289</v>
      </c>
      <c r="C171" s="2" t="s">
        <v>169</v>
      </c>
      <c r="D171" s="5">
        <v>33100</v>
      </c>
      <c r="E171" s="4">
        <v>129.97999999999999</v>
      </c>
      <c r="F171" s="4">
        <v>111.17</v>
      </c>
      <c r="G171" s="4">
        <v>689.28</v>
      </c>
      <c r="H171" s="4">
        <v>800.45</v>
      </c>
      <c r="I171" s="4">
        <v>24.490000000000002</v>
      </c>
      <c r="J171" s="4">
        <v>101.16</v>
      </c>
      <c r="K171" s="6">
        <v>83.78</v>
      </c>
      <c r="L171" s="4">
        <v>203.7</v>
      </c>
    </row>
    <row r="172" spans="1:12" ht="18.399999999999999" x14ac:dyDescent="0.45">
      <c r="A172" s="1">
        <v>1394</v>
      </c>
      <c r="B172" s="1" t="s">
        <v>290</v>
      </c>
      <c r="C172" s="2" t="s">
        <v>170</v>
      </c>
      <c r="D172" s="5">
        <v>32770</v>
      </c>
      <c r="E172" s="4">
        <v>131.72</v>
      </c>
      <c r="F172" s="4">
        <v>112.38</v>
      </c>
      <c r="G172" s="4">
        <v>704.29</v>
      </c>
      <c r="H172" s="4">
        <v>816.67</v>
      </c>
      <c r="I172" s="4">
        <v>24.72</v>
      </c>
      <c r="J172" s="4">
        <v>102.97999999999999</v>
      </c>
      <c r="K172" s="6">
        <v>81.36999999999999</v>
      </c>
      <c r="L172" s="4">
        <v>215.38000000000002</v>
      </c>
    </row>
    <row r="173" spans="1:12" ht="18.399999999999999" x14ac:dyDescent="0.45">
      <c r="A173" s="1">
        <v>1394</v>
      </c>
      <c r="B173" s="1" t="s">
        <v>291</v>
      </c>
      <c r="C173" s="2" t="s">
        <v>171</v>
      </c>
      <c r="D173" s="5">
        <v>32570</v>
      </c>
      <c r="E173" s="4">
        <v>132.9</v>
      </c>
      <c r="F173" s="4">
        <v>112.25</v>
      </c>
      <c r="G173" s="4">
        <v>720.13</v>
      </c>
      <c r="H173" s="4">
        <v>832.37999999999988</v>
      </c>
      <c r="I173" s="4">
        <v>23.35</v>
      </c>
      <c r="J173" s="4">
        <v>104.78</v>
      </c>
      <c r="K173" s="6">
        <v>83.3</v>
      </c>
      <c r="L173" s="4">
        <v>213.9</v>
      </c>
    </row>
    <row r="174" spans="1:12" ht="18.399999999999999" x14ac:dyDescent="0.45">
      <c r="A174" s="1">
        <v>1394</v>
      </c>
      <c r="B174" s="1" t="s">
        <v>292</v>
      </c>
      <c r="C174" s="2" t="s">
        <v>172</v>
      </c>
      <c r="D174" s="5">
        <v>33670</v>
      </c>
      <c r="E174" s="4">
        <v>136.04000000000002</v>
      </c>
      <c r="F174" s="4">
        <v>113.7</v>
      </c>
      <c r="G174" s="4">
        <v>737.1</v>
      </c>
      <c r="H174" s="4">
        <v>850.8</v>
      </c>
      <c r="I174" s="4">
        <v>25.509999999999998</v>
      </c>
      <c r="J174" s="4">
        <v>105.72</v>
      </c>
      <c r="K174" s="6">
        <v>81.88000000000001</v>
      </c>
      <c r="L174" s="4">
        <v>224.85</v>
      </c>
    </row>
    <row r="175" spans="1:12" ht="18.399999999999999" x14ac:dyDescent="0.45">
      <c r="A175" s="1">
        <v>1394</v>
      </c>
      <c r="B175" s="1" t="s">
        <v>293</v>
      </c>
      <c r="C175" s="2" t="s">
        <v>173</v>
      </c>
      <c r="D175" s="5">
        <v>34150</v>
      </c>
      <c r="E175" s="4">
        <v>137.5</v>
      </c>
      <c r="F175" s="4">
        <v>118.02000000000001</v>
      </c>
      <c r="G175" s="4">
        <v>754.73</v>
      </c>
      <c r="H175" s="4">
        <v>872.75</v>
      </c>
      <c r="I175" s="4">
        <v>26.380000000000003</v>
      </c>
      <c r="J175" s="4">
        <v>107.12</v>
      </c>
      <c r="K175" s="6">
        <v>80.599999999999994</v>
      </c>
      <c r="L175" s="4">
        <v>227.66</v>
      </c>
    </row>
    <row r="176" spans="1:12" ht="18.399999999999999" x14ac:dyDescent="0.45">
      <c r="A176" s="1">
        <v>1394</v>
      </c>
      <c r="B176" s="1" t="s">
        <v>294</v>
      </c>
      <c r="C176" s="2" t="s">
        <v>174</v>
      </c>
      <c r="D176" s="5">
        <v>34670</v>
      </c>
      <c r="E176" s="4">
        <v>140.28</v>
      </c>
      <c r="F176" s="4">
        <v>115.19000000000001</v>
      </c>
      <c r="G176" s="4">
        <v>771.7</v>
      </c>
      <c r="H176" s="4">
        <v>886.89</v>
      </c>
      <c r="I176" s="4">
        <v>22.44</v>
      </c>
      <c r="J176" s="4">
        <v>107.25999999999999</v>
      </c>
      <c r="K176" s="6">
        <v>85</v>
      </c>
      <c r="L176" s="4">
        <v>234.81</v>
      </c>
    </row>
    <row r="177" spans="1:12" ht="18.399999999999999" x14ac:dyDescent="0.45">
      <c r="A177" s="1">
        <v>1394</v>
      </c>
      <c r="B177" s="1" t="s">
        <v>295</v>
      </c>
      <c r="C177" s="2" t="s">
        <v>175</v>
      </c>
      <c r="D177" s="5">
        <v>35800</v>
      </c>
      <c r="E177" s="4">
        <v>143.32999999999998</v>
      </c>
      <c r="F177" s="4">
        <v>117.3</v>
      </c>
      <c r="G177" s="4">
        <v>790.06000000000006</v>
      </c>
      <c r="H177" s="4">
        <v>907.36</v>
      </c>
      <c r="I177" s="4">
        <v>26.439999999999998</v>
      </c>
      <c r="J177" s="4">
        <v>108.32000000000001</v>
      </c>
      <c r="K177" s="6">
        <v>83.13000000000001</v>
      </c>
      <c r="L177" s="4">
        <v>227.24</v>
      </c>
    </row>
    <row r="178" spans="1:12" ht="18.399999999999999" x14ac:dyDescent="0.45">
      <c r="A178" s="1">
        <v>1394</v>
      </c>
      <c r="B178" s="1" t="s">
        <v>296</v>
      </c>
      <c r="C178" s="2" t="s">
        <v>176</v>
      </c>
      <c r="D178" s="5">
        <v>36420</v>
      </c>
      <c r="E178" s="4">
        <v>142.78</v>
      </c>
      <c r="F178" s="4">
        <v>115.80999999999999</v>
      </c>
      <c r="G178" s="4">
        <v>809.36</v>
      </c>
      <c r="H178" s="4">
        <v>925.17000000000007</v>
      </c>
      <c r="I178" s="4">
        <v>26.49</v>
      </c>
      <c r="J178" s="4">
        <v>110.13</v>
      </c>
      <c r="K178" s="6">
        <v>82.990000000000009</v>
      </c>
      <c r="L178" s="4">
        <v>229.17999999999998</v>
      </c>
    </row>
    <row r="179" spans="1:12" ht="18.399999999999999" x14ac:dyDescent="0.45">
      <c r="A179" s="1">
        <v>1394</v>
      </c>
      <c r="B179" s="1" t="s">
        <v>297</v>
      </c>
      <c r="C179" s="2" t="s">
        <v>177</v>
      </c>
      <c r="D179" s="5">
        <v>36120</v>
      </c>
      <c r="E179" s="4">
        <v>146.78</v>
      </c>
      <c r="F179" s="4">
        <v>118.10999999999999</v>
      </c>
      <c r="G179" s="4">
        <v>831.28</v>
      </c>
      <c r="H179" s="4">
        <v>949.39</v>
      </c>
      <c r="I179" s="4">
        <v>26.47</v>
      </c>
      <c r="J179" s="4">
        <v>111.69000000000001</v>
      </c>
      <c r="K179" s="6">
        <v>83.69</v>
      </c>
      <c r="L179" s="4">
        <v>226.86999999999998</v>
      </c>
    </row>
    <row r="180" spans="1:12" ht="18.399999999999999" x14ac:dyDescent="0.45">
      <c r="A180" s="1">
        <v>1394</v>
      </c>
      <c r="B180" s="1" t="s">
        <v>298</v>
      </c>
      <c r="C180" s="2" t="s">
        <v>178</v>
      </c>
      <c r="D180" s="5">
        <v>35030</v>
      </c>
      <c r="E180" s="4">
        <v>146.85999999999999</v>
      </c>
      <c r="F180" s="4">
        <v>123.49000000000001</v>
      </c>
      <c r="G180" s="4">
        <v>852.45</v>
      </c>
      <c r="H180" s="4">
        <v>975.93999999999994</v>
      </c>
      <c r="I180" s="4">
        <v>26.4</v>
      </c>
      <c r="J180" s="4">
        <v>113.46</v>
      </c>
      <c r="K180" s="6">
        <v>85.36</v>
      </c>
      <c r="L180" s="4">
        <v>227.79000000000002</v>
      </c>
    </row>
    <row r="181" spans="1:12" ht="18.399999999999999" x14ac:dyDescent="0.45">
      <c r="A181" s="1">
        <v>1394</v>
      </c>
      <c r="B181" s="1" t="s">
        <v>299</v>
      </c>
      <c r="C181" s="2" t="s">
        <v>179</v>
      </c>
      <c r="D181" s="5">
        <v>34600</v>
      </c>
      <c r="E181" s="4">
        <v>153.57</v>
      </c>
      <c r="F181" s="4">
        <v>136.70999999999998</v>
      </c>
      <c r="G181" s="4">
        <v>880.57999999999993</v>
      </c>
      <c r="H181" s="4">
        <v>1017.29</v>
      </c>
      <c r="I181" s="4">
        <v>24.4</v>
      </c>
      <c r="J181" s="4">
        <v>119.13</v>
      </c>
      <c r="K181" s="6">
        <v>83.609999999999985</v>
      </c>
      <c r="L181" s="4">
        <v>244.98000000000002</v>
      </c>
    </row>
    <row r="182" spans="1:12" ht="18.399999999999999" x14ac:dyDescent="0.45">
      <c r="A182" s="1">
        <v>1395</v>
      </c>
      <c r="B182" s="1" t="s">
        <v>288</v>
      </c>
      <c r="C182" s="2" t="s">
        <v>180</v>
      </c>
      <c r="D182" s="5">
        <v>34770</v>
      </c>
      <c r="E182" s="4">
        <v>156.77000000000001</v>
      </c>
      <c r="F182" s="4">
        <v>127.7</v>
      </c>
      <c r="G182" s="4">
        <v>894.15</v>
      </c>
      <c r="H182" s="4">
        <v>1021.85</v>
      </c>
      <c r="I182" s="4">
        <v>31.85</v>
      </c>
      <c r="J182" s="4">
        <v>123.65</v>
      </c>
      <c r="K182" s="6">
        <v>88.17</v>
      </c>
      <c r="L182" s="4">
        <v>247.58</v>
      </c>
    </row>
    <row r="183" spans="1:12" ht="18.399999999999999" x14ac:dyDescent="0.45">
      <c r="A183" s="1">
        <v>1395</v>
      </c>
      <c r="B183" s="1" t="s">
        <v>289</v>
      </c>
      <c r="C183" s="2" t="s">
        <v>181</v>
      </c>
      <c r="D183" s="5">
        <v>34450</v>
      </c>
      <c r="E183" s="4">
        <v>158.88</v>
      </c>
      <c r="F183" s="4">
        <v>127.59</v>
      </c>
      <c r="G183" s="4">
        <v>910.93</v>
      </c>
      <c r="H183" s="4">
        <v>1038.52</v>
      </c>
      <c r="I183" s="4">
        <v>32.67</v>
      </c>
      <c r="J183" s="4">
        <v>125.67999999999999</v>
      </c>
      <c r="K183" s="6">
        <v>89.3</v>
      </c>
      <c r="L183" s="4">
        <v>240.60999999999999</v>
      </c>
    </row>
    <row r="184" spans="1:12" ht="18.399999999999999" x14ac:dyDescent="0.45">
      <c r="A184" s="1">
        <v>1395</v>
      </c>
      <c r="B184" s="1" t="s">
        <v>290</v>
      </c>
      <c r="C184" s="2" t="s">
        <v>182</v>
      </c>
      <c r="D184" s="5">
        <v>34630</v>
      </c>
      <c r="E184" s="4">
        <v>158.52000000000001</v>
      </c>
      <c r="F184" s="4">
        <v>136.44</v>
      </c>
      <c r="G184" s="4">
        <v>923.06000000000006</v>
      </c>
      <c r="H184" s="4">
        <v>1059.5</v>
      </c>
      <c r="I184" s="4">
        <v>33.35</v>
      </c>
      <c r="J184" s="4">
        <v>128.47</v>
      </c>
      <c r="K184" s="6">
        <v>89.51</v>
      </c>
      <c r="L184" s="4">
        <v>241.31</v>
      </c>
    </row>
    <row r="185" spans="1:12" ht="18.399999999999999" x14ac:dyDescent="0.45">
      <c r="A185" s="1">
        <v>1395</v>
      </c>
      <c r="B185" s="1" t="s">
        <v>291</v>
      </c>
      <c r="C185" s="2" t="s">
        <v>183</v>
      </c>
      <c r="D185" s="5">
        <v>35150</v>
      </c>
      <c r="E185" s="4">
        <v>159.87</v>
      </c>
      <c r="F185" s="4">
        <v>139.44999999999999</v>
      </c>
      <c r="G185" s="4">
        <v>942.43</v>
      </c>
      <c r="H185" s="4">
        <v>1081.8799999999999</v>
      </c>
      <c r="I185" s="4">
        <v>34.5</v>
      </c>
      <c r="J185" s="4">
        <v>130.57</v>
      </c>
      <c r="K185" s="6">
        <v>90.9</v>
      </c>
      <c r="L185" s="4">
        <v>242.96999999999997</v>
      </c>
    </row>
    <row r="186" spans="1:12" ht="18.399999999999999" x14ac:dyDescent="0.45">
      <c r="A186" s="1">
        <v>1395</v>
      </c>
      <c r="B186" s="1" t="s">
        <v>292</v>
      </c>
      <c r="C186" s="2" t="s">
        <v>184</v>
      </c>
      <c r="D186" s="5">
        <v>35400</v>
      </c>
      <c r="E186" s="4">
        <v>160.35</v>
      </c>
      <c r="F186" s="4">
        <v>147.49</v>
      </c>
      <c r="G186" s="4">
        <v>951.71</v>
      </c>
      <c r="H186" s="4">
        <v>1099.2</v>
      </c>
      <c r="I186" s="4">
        <v>34.799999999999997</v>
      </c>
      <c r="J186" s="4">
        <v>133.41</v>
      </c>
      <c r="K186" s="6">
        <v>91.84</v>
      </c>
      <c r="L186" s="4">
        <v>238.25</v>
      </c>
    </row>
    <row r="187" spans="1:12" ht="18.399999999999999" x14ac:dyDescent="0.45">
      <c r="A187" s="1">
        <v>1395</v>
      </c>
      <c r="B187" s="1" t="s">
        <v>293</v>
      </c>
      <c r="C187" s="2" t="s">
        <v>185</v>
      </c>
      <c r="D187" s="5">
        <v>35700</v>
      </c>
      <c r="E187" s="4">
        <v>165.51</v>
      </c>
      <c r="F187" s="4">
        <v>148.03</v>
      </c>
      <c r="G187" s="4">
        <v>974.68</v>
      </c>
      <c r="H187" s="4">
        <v>1122.71</v>
      </c>
      <c r="I187" s="4">
        <v>35.46</v>
      </c>
      <c r="J187" s="4">
        <v>136.76</v>
      </c>
      <c r="K187" s="6">
        <v>94.22</v>
      </c>
      <c r="L187" s="4">
        <v>238.14000000000001</v>
      </c>
    </row>
    <row r="188" spans="1:12" ht="18.399999999999999" x14ac:dyDescent="0.45">
      <c r="A188" s="1">
        <v>1395</v>
      </c>
      <c r="B188" s="1" t="s">
        <v>294</v>
      </c>
      <c r="C188" s="2" t="s">
        <v>186</v>
      </c>
      <c r="D188" s="5">
        <v>35950</v>
      </c>
      <c r="E188" s="4">
        <v>165.98</v>
      </c>
      <c r="F188" s="4">
        <v>145</v>
      </c>
      <c r="G188" s="4">
        <v>992.99</v>
      </c>
      <c r="H188" s="4">
        <v>1137.99</v>
      </c>
      <c r="I188" s="4">
        <v>34.36</v>
      </c>
      <c r="J188" s="4">
        <v>138.65</v>
      </c>
      <c r="K188" s="6">
        <v>98.190000000000012</v>
      </c>
      <c r="L188" s="4">
        <v>240.07000000000002</v>
      </c>
    </row>
    <row r="189" spans="1:12" ht="18.399999999999999" x14ac:dyDescent="0.45">
      <c r="A189" s="1">
        <v>1395</v>
      </c>
      <c r="B189" s="1" t="s">
        <v>295</v>
      </c>
      <c r="C189" s="2" t="s">
        <v>187</v>
      </c>
      <c r="D189" s="5">
        <v>36850</v>
      </c>
      <c r="E189" s="4">
        <v>169.13</v>
      </c>
      <c r="F189" s="4">
        <v>149.72</v>
      </c>
      <c r="G189" s="4">
        <v>1012.1</v>
      </c>
      <c r="H189" s="4">
        <v>1161.8200000000002</v>
      </c>
      <c r="I189" s="4">
        <v>35.480000000000004</v>
      </c>
      <c r="J189" s="4">
        <v>143.19999999999999</v>
      </c>
      <c r="K189" s="6">
        <v>100.94</v>
      </c>
      <c r="L189" s="4">
        <v>240.28000000000003</v>
      </c>
    </row>
    <row r="190" spans="1:12" ht="18.399999999999999" x14ac:dyDescent="0.45">
      <c r="A190" s="1">
        <v>1395</v>
      </c>
      <c r="B190" s="1" t="s">
        <v>296</v>
      </c>
      <c r="C190" s="2" t="s">
        <v>188</v>
      </c>
      <c r="D190" s="5">
        <v>39750</v>
      </c>
      <c r="E190" s="4">
        <v>170.47</v>
      </c>
      <c r="F190" s="4">
        <v>154.07</v>
      </c>
      <c r="G190" s="4">
        <v>1030.79</v>
      </c>
      <c r="H190" s="4">
        <v>1184.8600000000001</v>
      </c>
      <c r="I190" s="4">
        <v>35.47</v>
      </c>
      <c r="J190" s="4">
        <v>144.32999999999998</v>
      </c>
      <c r="K190" s="6">
        <v>104.79</v>
      </c>
      <c r="L190" s="4">
        <v>238.51999999999998</v>
      </c>
    </row>
    <row r="191" spans="1:12" ht="18.399999999999999" x14ac:dyDescent="0.45">
      <c r="A191" s="1">
        <v>1395</v>
      </c>
      <c r="B191" s="1" t="s">
        <v>297</v>
      </c>
      <c r="C191" s="2" t="s">
        <v>189</v>
      </c>
      <c r="D191" s="5">
        <v>37860</v>
      </c>
      <c r="E191" s="4">
        <v>172.23</v>
      </c>
      <c r="F191" s="4">
        <v>150.97</v>
      </c>
      <c r="G191" s="4">
        <v>1045.6299999999999</v>
      </c>
      <c r="H191" s="4">
        <v>1196.5999999999999</v>
      </c>
      <c r="I191" s="4">
        <v>33.619999999999997</v>
      </c>
      <c r="J191" s="4">
        <v>145.56</v>
      </c>
      <c r="K191" s="6">
        <v>109.2</v>
      </c>
      <c r="L191" s="4">
        <v>237.75</v>
      </c>
    </row>
    <row r="192" spans="1:12" ht="18.399999999999999" x14ac:dyDescent="0.45">
      <c r="A192" s="1">
        <v>1395</v>
      </c>
      <c r="B192" s="1" t="s">
        <v>298</v>
      </c>
      <c r="C192" s="2" t="s">
        <v>190</v>
      </c>
      <c r="D192" s="5">
        <v>38020</v>
      </c>
      <c r="E192" s="4">
        <v>173.41</v>
      </c>
      <c r="F192" s="4">
        <v>152.26</v>
      </c>
      <c r="G192" s="4">
        <v>1058.83</v>
      </c>
      <c r="H192" s="4">
        <v>1211.0899999999999</v>
      </c>
      <c r="I192" s="4">
        <v>33.86</v>
      </c>
      <c r="J192" s="4">
        <v>146.72999999999999</v>
      </c>
      <c r="K192" s="6">
        <v>115.49000000000001</v>
      </c>
      <c r="L192" s="4">
        <v>238.76</v>
      </c>
    </row>
    <row r="193" spans="1:12" ht="18.399999999999999" x14ac:dyDescent="0.45">
      <c r="A193" s="1">
        <v>1395</v>
      </c>
      <c r="B193" s="1" t="s">
        <v>299</v>
      </c>
      <c r="C193" s="2" t="s">
        <v>191</v>
      </c>
      <c r="D193" s="5">
        <v>37300</v>
      </c>
      <c r="E193" s="4">
        <v>179.82999999999998</v>
      </c>
      <c r="F193" s="4">
        <v>163.03</v>
      </c>
      <c r="G193" s="4">
        <v>1090.3600000000001</v>
      </c>
      <c r="H193" s="4">
        <v>1253.3899999999999</v>
      </c>
      <c r="I193" s="4">
        <v>27.380000000000003</v>
      </c>
      <c r="J193" s="4">
        <v>158.41</v>
      </c>
      <c r="K193" s="6">
        <v>99.69</v>
      </c>
      <c r="L193" s="4">
        <v>251.26</v>
      </c>
    </row>
    <row r="194" spans="1:12" ht="18.399999999999999" x14ac:dyDescent="0.45">
      <c r="A194" s="1">
        <v>1396</v>
      </c>
      <c r="B194" s="1" t="s">
        <v>288</v>
      </c>
      <c r="C194" s="2" t="s">
        <v>192</v>
      </c>
      <c r="D194" s="5">
        <v>37490</v>
      </c>
      <c r="E194" s="4">
        <v>179.13</v>
      </c>
      <c r="F194" s="4">
        <v>155.05000000000001</v>
      </c>
      <c r="G194" s="4">
        <v>1109.06</v>
      </c>
      <c r="H194" s="4">
        <v>1264.1100000000001</v>
      </c>
      <c r="I194" s="4">
        <v>31.9</v>
      </c>
      <c r="J194" s="4">
        <v>161.54000000000002</v>
      </c>
      <c r="K194" s="6">
        <v>100.99</v>
      </c>
      <c r="L194" s="4">
        <v>241.76999999999998</v>
      </c>
    </row>
    <row r="195" spans="1:12" ht="18.399999999999999" x14ac:dyDescent="0.45">
      <c r="A195" s="1">
        <v>1396</v>
      </c>
      <c r="B195" s="1" t="s">
        <v>289</v>
      </c>
      <c r="C195" s="2" t="s">
        <v>193</v>
      </c>
      <c r="D195" s="5">
        <v>37340</v>
      </c>
      <c r="E195" s="4">
        <v>181.84</v>
      </c>
      <c r="F195" s="4">
        <v>161.85</v>
      </c>
      <c r="G195" s="4">
        <v>1127.24</v>
      </c>
      <c r="H195" s="4">
        <v>1289.0899999999999</v>
      </c>
      <c r="I195" s="4">
        <v>37.15</v>
      </c>
      <c r="J195" s="4">
        <v>162.85999999999999</v>
      </c>
      <c r="K195" s="6">
        <v>102.42999999999999</v>
      </c>
      <c r="L195" s="4">
        <v>239.53000000000003</v>
      </c>
    </row>
    <row r="196" spans="1:12" ht="18.399999999999999" x14ac:dyDescent="0.45">
      <c r="A196" s="1">
        <v>1396</v>
      </c>
      <c r="B196" s="1" t="s">
        <v>290</v>
      </c>
      <c r="C196" s="2" t="s">
        <v>194</v>
      </c>
      <c r="D196" s="5">
        <v>37440</v>
      </c>
      <c r="E196" s="4">
        <v>185.19</v>
      </c>
      <c r="F196" s="4">
        <v>164.70999999999998</v>
      </c>
      <c r="G196" s="4">
        <v>1150.2</v>
      </c>
      <c r="H196" s="4">
        <v>1314.91</v>
      </c>
      <c r="I196" s="4">
        <v>36.18</v>
      </c>
      <c r="J196" s="4">
        <v>164.31</v>
      </c>
      <c r="K196" s="6">
        <v>101.37</v>
      </c>
      <c r="L196" s="4">
        <v>240.84</v>
      </c>
    </row>
    <row r="197" spans="1:12" ht="18.399999999999999" x14ac:dyDescent="0.45">
      <c r="A197" s="1">
        <v>1396</v>
      </c>
      <c r="B197" s="1" t="s">
        <v>291</v>
      </c>
      <c r="C197" s="2" t="s">
        <v>195</v>
      </c>
      <c r="D197" s="5">
        <v>37720</v>
      </c>
      <c r="E197" s="4">
        <v>186.37</v>
      </c>
      <c r="F197" s="4">
        <v>159.51</v>
      </c>
      <c r="G197" s="4">
        <v>1174.23</v>
      </c>
      <c r="H197" s="4">
        <v>1333.74</v>
      </c>
      <c r="I197" s="4">
        <v>34.93</v>
      </c>
      <c r="J197" s="4">
        <v>166.87</v>
      </c>
      <c r="K197" s="6">
        <v>107.87</v>
      </c>
      <c r="L197" s="4">
        <v>242.23000000000002</v>
      </c>
    </row>
    <row r="198" spans="1:12" ht="18.399999999999999" x14ac:dyDescent="0.45">
      <c r="A198" s="1">
        <v>1396</v>
      </c>
      <c r="B198" s="1" t="s">
        <v>292</v>
      </c>
      <c r="C198" s="2" t="s">
        <v>196</v>
      </c>
      <c r="D198" s="5">
        <v>38300</v>
      </c>
      <c r="E198" s="4">
        <v>189.54000000000002</v>
      </c>
      <c r="F198" s="4">
        <v>165.78</v>
      </c>
      <c r="G198" s="4">
        <v>1200.48</v>
      </c>
      <c r="H198" s="4">
        <v>1366.26</v>
      </c>
      <c r="I198" s="4">
        <v>37.31</v>
      </c>
      <c r="J198" s="4">
        <v>167.47</v>
      </c>
      <c r="K198" s="6">
        <v>110.39000000000001</v>
      </c>
      <c r="L198" s="4">
        <v>247.06000000000003</v>
      </c>
    </row>
    <row r="199" spans="1:12" ht="18.399999999999999" x14ac:dyDescent="0.45">
      <c r="A199" s="1">
        <v>1396</v>
      </c>
      <c r="B199" s="1" t="s">
        <v>293</v>
      </c>
      <c r="C199" s="2" t="s">
        <v>197</v>
      </c>
      <c r="D199" s="5">
        <v>38940</v>
      </c>
      <c r="E199" s="4">
        <v>196.49</v>
      </c>
      <c r="F199" s="4">
        <v>168.24</v>
      </c>
      <c r="G199" s="4">
        <v>1221.71</v>
      </c>
      <c r="H199" s="4">
        <v>1389.95</v>
      </c>
      <c r="I199" s="4">
        <v>37</v>
      </c>
      <c r="J199" s="4">
        <v>171.91</v>
      </c>
      <c r="K199" s="6">
        <v>109.71</v>
      </c>
      <c r="L199" s="4">
        <v>249.78000000000003</v>
      </c>
    </row>
    <row r="200" spans="1:12" ht="18.399999999999999" x14ac:dyDescent="0.45">
      <c r="A200" s="1">
        <v>1396</v>
      </c>
      <c r="B200" s="1" t="s">
        <v>294</v>
      </c>
      <c r="C200" s="2" t="s">
        <v>198</v>
      </c>
      <c r="D200" s="5">
        <v>40120</v>
      </c>
      <c r="E200" s="4">
        <v>196.35</v>
      </c>
      <c r="F200" s="4">
        <v>163.80000000000001</v>
      </c>
      <c r="G200" s="4">
        <v>1239.25</v>
      </c>
      <c r="H200" s="4">
        <v>1403.05</v>
      </c>
      <c r="I200" s="4">
        <v>37.910000000000004</v>
      </c>
      <c r="J200" s="4">
        <v>179.07</v>
      </c>
      <c r="K200" s="6">
        <v>112.38</v>
      </c>
      <c r="L200" s="4">
        <v>249.33</v>
      </c>
    </row>
    <row r="201" spans="1:12" ht="18.399999999999999" x14ac:dyDescent="0.45">
      <c r="A201" s="1">
        <v>1396</v>
      </c>
      <c r="B201" s="1" t="s">
        <v>295</v>
      </c>
      <c r="C201" s="2" t="s">
        <v>199</v>
      </c>
      <c r="D201" s="5">
        <v>40980</v>
      </c>
      <c r="E201" s="4">
        <v>196.75</v>
      </c>
      <c r="F201" s="4">
        <v>170.59</v>
      </c>
      <c r="G201" s="4">
        <v>1253.8799999999999</v>
      </c>
      <c r="H201" s="4">
        <v>1424.47</v>
      </c>
      <c r="I201" s="4">
        <v>38.5</v>
      </c>
      <c r="J201" s="4">
        <v>187.57999999999998</v>
      </c>
      <c r="K201" s="6">
        <v>110.41</v>
      </c>
      <c r="L201" s="4">
        <v>248.63000000000002</v>
      </c>
    </row>
    <row r="202" spans="1:12" ht="18.399999999999999" x14ac:dyDescent="0.45">
      <c r="A202" s="1">
        <v>1396</v>
      </c>
      <c r="B202" s="1" t="s">
        <v>296</v>
      </c>
      <c r="C202" s="2" t="s">
        <v>200</v>
      </c>
      <c r="D202" s="5">
        <v>41880</v>
      </c>
      <c r="E202" s="4">
        <v>199.45</v>
      </c>
      <c r="F202" s="4">
        <v>173.44</v>
      </c>
      <c r="G202" s="4">
        <v>1271.5700000000002</v>
      </c>
      <c r="H202" s="4">
        <v>1445.01</v>
      </c>
      <c r="I202" s="4">
        <v>38.299999999999997</v>
      </c>
      <c r="J202" s="4">
        <v>188.75</v>
      </c>
      <c r="K202" s="6">
        <v>113.07000000000001</v>
      </c>
      <c r="L202" s="4">
        <v>254.65</v>
      </c>
    </row>
    <row r="203" spans="1:12" ht="18.399999999999999" x14ac:dyDescent="0.45">
      <c r="A203" s="1">
        <v>1396</v>
      </c>
      <c r="B203" s="1" t="s">
        <v>297</v>
      </c>
      <c r="C203" s="2" t="s">
        <v>201</v>
      </c>
      <c r="D203" s="5">
        <v>45550</v>
      </c>
      <c r="E203" s="4">
        <v>201.24</v>
      </c>
      <c r="F203" s="4">
        <v>180.16</v>
      </c>
      <c r="G203" s="4">
        <v>1282.96</v>
      </c>
      <c r="H203" s="4">
        <v>1463.1200000000001</v>
      </c>
      <c r="I203" s="4">
        <v>37.11</v>
      </c>
      <c r="J203" s="4">
        <v>189.99</v>
      </c>
      <c r="K203" s="6">
        <v>117.48000000000002</v>
      </c>
      <c r="L203" s="4">
        <v>263.39</v>
      </c>
    </row>
    <row r="204" spans="1:12" ht="18.399999999999999" x14ac:dyDescent="0.45">
      <c r="A204" s="1">
        <v>1396</v>
      </c>
      <c r="B204" s="1" t="s">
        <v>298</v>
      </c>
      <c r="C204" s="2" t="s">
        <v>202</v>
      </c>
      <c r="D204" s="5">
        <v>45880</v>
      </c>
      <c r="E204" s="4">
        <v>203.95999999999998</v>
      </c>
      <c r="F204" s="4">
        <v>185.31</v>
      </c>
      <c r="G204" s="4">
        <v>1304.33</v>
      </c>
      <c r="H204" s="4">
        <v>1489.6399999999999</v>
      </c>
      <c r="I204" s="4">
        <v>37.799999999999997</v>
      </c>
      <c r="J204" s="4">
        <v>191.95</v>
      </c>
      <c r="K204" s="6">
        <v>116.71</v>
      </c>
      <c r="L204" s="4">
        <v>273.3</v>
      </c>
    </row>
    <row r="205" spans="1:12" ht="18.399999999999999" x14ac:dyDescent="0.45">
      <c r="A205" s="1">
        <v>1396</v>
      </c>
      <c r="B205" s="1" t="s">
        <v>299</v>
      </c>
      <c r="C205" s="2" t="s">
        <v>203</v>
      </c>
      <c r="D205" s="5">
        <v>47730</v>
      </c>
      <c r="E205" s="4">
        <v>213.98000000000002</v>
      </c>
      <c r="F205" s="4">
        <v>194.67000000000002</v>
      </c>
      <c r="G205" s="4">
        <v>1335.31</v>
      </c>
      <c r="H205" s="4">
        <v>1529.98</v>
      </c>
      <c r="I205" s="4">
        <v>26.619999999999997</v>
      </c>
      <c r="J205" s="4">
        <v>202.5</v>
      </c>
      <c r="K205" s="6">
        <v>132.03000000000003</v>
      </c>
      <c r="L205" s="4">
        <v>286.25</v>
      </c>
    </row>
    <row r="206" spans="1:12" ht="18.399999999999999" x14ac:dyDescent="0.45">
      <c r="A206" s="1">
        <v>1397</v>
      </c>
      <c r="B206" s="1" t="s">
        <v>288</v>
      </c>
      <c r="C206" s="2" t="s">
        <v>204</v>
      </c>
      <c r="D206" s="5">
        <v>58000</v>
      </c>
      <c r="E206" s="4">
        <v>214.3</v>
      </c>
      <c r="F206" s="4">
        <v>188.19</v>
      </c>
      <c r="G206" s="4">
        <v>1349.0700000000002</v>
      </c>
      <c r="H206" s="4">
        <v>1537.26</v>
      </c>
      <c r="I206" s="4">
        <v>31.619999999999997</v>
      </c>
      <c r="J206" s="4">
        <v>205.09</v>
      </c>
      <c r="K206" s="6">
        <v>133.66</v>
      </c>
      <c r="L206" s="4">
        <v>317.10000000000002</v>
      </c>
    </row>
    <row r="207" spans="1:12" ht="18.399999999999999" x14ac:dyDescent="0.45">
      <c r="A207" s="1">
        <v>1397</v>
      </c>
      <c r="B207" s="1" t="s">
        <v>289</v>
      </c>
      <c r="C207" s="2" t="s">
        <v>205</v>
      </c>
      <c r="D207" s="5">
        <v>64000</v>
      </c>
      <c r="E207" s="4">
        <v>216.19</v>
      </c>
      <c r="F207" s="4">
        <v>194.07</v>
      </c>
      <c r="G207" s="4">
        <v>1357.28</v>
      </c>
      <c r="H207" s="4">
        <v>1551.35</v>
      </c>
      <c r="I207" s="4">
        <v>34.700000000000003</v>
      </c>
      <c r="J207" s="4">
        <v>208.04000000000002</v>
      </c>
      <c r="K207" s="6">
        <v>137.70999999999998</v>
      </c>
      <c r="L207" s="4">
        <v>318.08000000000004</v>
      </c>
    </row>
    <row r="208" spans="1:12" ht="18.399999999999999" x14ac:dyDescent="0.45">
      <c r="A208" s="1">
        <v>1397</v>
      </c>
      <c r="B208" s="1" t="s">
        <v>290</v>
      </c>
      <c r="C208" s="2" t="s">
        <v>206</v>
      </c>
      <c r="D208" s="5">
        <v>75500</v>
      </c>
      <c r="E208" s="4">
        <v>218.66</v>
      </c>
      <c r="F208" s="4">
        <v>205.95</v>
      </c>
      <c r="G208" s="4">
        <v>1376.8</v>
      </c>
      <c r="H208" s="4">
        <v>1582.75</v>
      </c>
      <c r="I208" s="4">
        <v>34.44</v>
      </c>
      <c r="J208" s="4">
        <v>210.76</v>
      </c>
      <c r="K208" s="6">
        <v>139.70999999999998</v>
      </c>
      <c r="L208" s="4">
        <v>312.18</v>
      </c>
    </row>
    <row r="209" spans="1:12" ht="18.399999999999999" x14ac:dyDescent="0.45">
      <c r="A209" s="1">
        <v>1397</v>
      </c>
      <c r="B209" s="1" t="s">
        <v>291</v>
      </c>
      <c r="C209" s="2" t="s">
        <v>207</v>
      </c>
      <c r="D209" s="5">
        <v>90500</v>
      </c>
      <c r="E209" s="4">
        <v>220.21999999999997</v>
      </c>
      <c r="F209" s="4">
        <v>214.91</v>
      </c>
      <c r="G209" s="4">
        <v>1387.34</v>
      </c>
      <c r="H209" s="4">
        <v>1602.25</v>
      </c>
      <c r="I209" s="4">
        <v>35.35</v>
      </c>
      <c r="J209" s="4">
        <v>215.98000000000002</v>
      </c>
      <c r="K209" s="6">
        <v>147.09</v>
      </c>
      <c r="L209" s="4">
        <v>316.77</v>
      </c>
    </row>
    <row r="210" spans="1:12" ht="18.399999999999999" x14ac:dyDescent="0.45">
      <c r="A210" s="1">
        <v>1397</v>
      </c>
      <c r="B210" s="1" t="s">
        <v>292</v>
      </c>
      <c r="C210" s="2" t="s">
        <v>208</v>
      </c>
      <c r="D210" s="5">
        <v>106000</v>
      </c>
      <c r="E210" s="4">
        <v>227.98000000000002</v>
      </c>
      <c r="F210" s="4">
        <v>231.59</v>
      </c>
      <c r="G210" s="4">
        <v>1415.1</v>
      </c>
      <c r="H210" s="4">
        <v>1646.69</v>
      </c>
      <c r="I210" s="4">
        <v>36.92</v>
      </c>
      <c r="J210" s="4">
        <v>218</v>
      </c>
      <c r="K210" s="6">
        <v>148.84</v>
      </c>
      <c r="L210" s="4">
        <v>304.45</v>
      </c>
    </row>
    <row r="211" spans="1:12" ht="18.399999999999999" x14ac:dyDescent="0.45">
      <c r="A211" s="1">
        <v>1397</v>
      </c>
      <c r="B211" s="1" t="s">
        <v>293</v>
      </c>
      <c r="C211" s="2" t="s">
        <v>209</v>
      </c>
      <c r="D211" s="5">
        <v>145000</v>
      </c>
      <c r="E211" s="4">
        <v>234.51</v>
      </c>
      <c r="F211" s="4">
        <v>243.67</v>
      </c>
      <c r="G211" s="4">
        <v>1428.7</v>
      </c>
      <c r="H211" s="4">
        <v>1672.3700000000001</v>
      </c>
      <c r="I211" s="4">
        <v>36.85</v>
      </c>
      <c r="J211" s="4">
        <v>224.55</v>
      </c>
      <c r="K211" s="6">
        <v>150.65</v>
      </c>
      <c r="L211" s="4">
        <v>310.18</v>
      </c>
    </row>
    <row r="212" spans="1:12" ht="18.399999999999999" x14ac:dyDescent="0.45">
      <c r="A212" s="1">
        <v>1397</v>
      </c>
      <c r="B212" s="1" t="s">
        <v>294</v>
      </c>
      <c r="C212" s="2" t="s">
        <v>210</v>
      </c>
      <c r="D212" s="5">
        <v>140000</v>
      </c>
      <c r="E212" s="4">
        <v>236.55</v>
      </c>
      <c r="F212" s="4">
        <v>242.01</v>
      </c>
      <c r="G212" s="4">
        <v>1451.83</v>
      </c>
      <c r="H212" s="4">
        <v>1693.8400000000001</v>
      </c>
      <c r="I212" s="4">
        <v>39.19</v>
      </c>
      <c r="J212" s="4">
        <v>223.96999999999997</v>
      </c>
      <c r="K212" s="6">
        <v>160.54000000000002</v>
      </c>
      <c r="L212" s="4">
        <v>305.92</v>
      </c>
    </row>
    <row r="213" spans="1:12" ht="18.399999999999999" x14ac:dyDescent="0.45">
      <c r="A213" s="1">
        <v>1397</v>
      </c>
      <c r="B213" s="1" t="s">
        <v>295</v>
      </c>
      <c r="C213" s="2" t="s">
        <v>211</v>
      </c>
      <c r="D213" s="5">
        <v>131000</v>
      </c>
      <c r="E213" s="4">
        <v>241.4</v>
      </c>
      <c r="F213" s="4">
        <v>244.55</v>
      </c>
      <c r="G213" s="4">
        <v>1480.65</v>
      </c>
      <c r="H213" s="4">
        <v>1725.2</v>
      </c>
      <c r="I213" s="4">
        <v>39.869999999999997</v>
      </c>
      <c r="J213" s="4">
        <v>225.5</v>
      </c>
      <c r="K213" s="6">
        <v>158.13</v>
      </c>
      <c r="L213" s="4">
        <v>307.39</v>
      </c>
    </row>
    <row r="214" spans="1:12" ht="18.399999999999999" x14ac:dyDescent="0.45">
      <c r="A214" s="1">
        <v>1397</v>
      </c>
      <c r="B214" s="1" t="s">
        <v>296</v>
      </c>
      <c r="C214" s="2" t="s">
        <v>212</v>
      </c>
      <c r="D214" s="5">
        <v>103500</v>
      </c>
      <c r="E214" s="4">
        <v>244.83</v>
      </c>
      <c r="F214" s="4">
        <v>244.61999999999998</v>
      </c>
      <c r="G214" s="4">
        <v>1519.96</v>
      </c>
      <c r="H214" s="4">
        <v>1764.58</v>
      </c>
      <c r="I214" s="4">
        <v>43.79</v>
      </c>
      <c r="J214" s="4">
        <v>226.14000000000001</v>
      </c>
      <c r="K214" s="6">
        <v>149.79000000000002</v>
      </c>
      <c r="L214" s="4">
        <v>312.36</v>
      </c>
    </row>
    <row r="215" spans="1:12" ht="18.399999999999999" x14ac:dyDescent="0.45">
      <c r="A215" s="1">
        <v>1397</v>
      </c>
      <c r="B215" s="1" t="s">
        <v>297</v>
      </c>
      <c r="C215" s="2" t="s">
        <v>213</v>
      </c>
      <c r="D215" s="5">
        <v>122000</v>
      </c>
      <c r="E215" s="4">
        <v>250.71999999999997</v>
      </c>
      <c r="F215" s="4">
        <v>248.84</v>
      </c>
      <c r="G215" s="4">
        <v>1547.59</v>
      </c>
      <c r="H215" s="4">
        <v>1796.4299999999998</v>
      </c>
      <c r="I215" s="4">
        <v>48.05</v>
      </c>
      <c r="J215" s="4">
        <v>227.35999999999999</v>
      </c>
      <c r="K215" s="6">
        <v>148.28000000000003</v>
      </c>
      <c r="L215" s="4">
        <v>315.07000000000005</v>
      </c>
    </row>
    <row r="216" spans="1:12" ht="18.399999999999999" x14ac:dyDescent="0.45">
      <c r="A216" s="1">
        <v>1397</v>
      </c>
      <c r="B216" s="1" t="s">
        <v>298</v>
      </c>
      <c r="C216" s="2" t="s">
        <v>214</v>
      </c>
      <c r="D216" s="5">
        <v>133000</v>
      </c>
      <c r="E216" s="4">
        <v>253.44</v>
      </c>
      <c r="F216" s="4">
        <v>262.14</v>
      </c>
      <c r="G216" s="4">
        <v>1568.51</v>
      </c>
      <c r="H216" s="4">
        <v>1830.65</v>
      </c>
      <c r="I216" s="4">
        <v>53.44</v>
      </c>
      <c r="J216" s="4">
        <v>229.73000000000002</v>
      </c>
      <c r="K216" s="6">
        <v>144.97999999999999</v>
      </c>
      <c r="L216" s="4">
        <v>313.62</v>
      </c>
    </row>
    <row r="217" spans="1:12" ht="18.399999999999999" x14ac:dyDescent="0.45">
      <c r="A217" s="1">
        <v>1397</v>
      </c>
      <c r="B217" s="1" t="s">
        <v>299</v>
      </c>
      <c r="C217" s="2" t="s">
        <v>215</v>
      </c>
      <c r="D217" s="5">
        <v>135000</v>
      </c>
      <c r="E217" s="4">
        <v>265.69</v>
      </c>
      <c r="F217" s="4">
        <v>285.23</v>
      </c>
      <c r="G217" s="4">
        <v>1597.66</v>
      </c>
      <c r="H217" s="4">
        <v>1882.89</v>
      </c>
      <c r="I217" s="4">
        <v>73.12</v>
      </c>
      <c r="J217" s="4">
        <v>231.01</v>
      </c>
      <c r="K217" s="6">
        <v>138.17000000000002</v>
      </c>
      <c r="L217" s="4">
        <v>325.26</v>
      </c>
    </row>
    <row r="218" spans="1:12" ht="18.399999999999999" x14ac:dyDescent="0.45">
      <c r="A218" s="1">
        <v>1398</v>
      </c>
      <c r="B218" s="1" t="s">
        <v>288</v>
      </c>
      <c r="C218" s="2" t="s">
        <v>216</v>
      </c>
      <c r="D218" s="5">
        <v>137000</v>
      </c>
      <c r="E218" s="4">
        <v>264.83000000000004</v>
      </c>
      <c r="F218" s="4">
        <v>277.29000000000002</v>
      </c>
      <c r="G218" s="4">
        <v>1613.2</v>
      </c>
      <c r="H218" s="4">
        <v>1890.4900000000002</v>
      </c>
      <c r="I218" s="4">
        <v>69.210000000000008</v>
      </c>
      <c r="J218" s="4">
        <v>233.09</v>
      </c>
      <c r="K218" s="6">
        <v>138.32</v>
      </c>
      <c r="L218" s="4">
        <v>321.70999999999998</v>
      </c>
    </row>
    <row r="219" spans="1:12" ht="18.399999999999999" x14ac:dyDescent="0.45">
      <c r="A219" s="1">
        <v>1398</v>
      </c>
      <c r="B219" s="1" t="s">
        <v>289</v>
      </c>
      <c r="C219" s="2" t="s">
        <v>217</v>
      </c>
      <c r="D219" s="5">
        <v>143000</v>
      </c>
      <c r="E219" s="4">
        <v>275.11</v>
      </c>
      <c r="F219" s="4">
        <v>307.71999999999997</v>
      </c>
      <c r="G219" s="4">
        <v>1634.27</v>
      </c>
      <c r="H219" s="4">
        <v>1941.9900000000002</v>
      </c>
      <c r="I219" s="4">
        <v>77.260000000000005</v>
      </c>
      <c r="J219" s="4">
        <v>240.53000000000003</v>
      </c>
      <c r="K219" s="6">
        <v>130.02000000000001</v>
      </c>
      <c r="L219" s="4">
        <v>325.31000000000006</v>
      </c>
    </row>
    <row r="220" spans="1:12" ht="18.399999999999999" x14ac:dyDescent="0.45">
      <c r="A220" s="1">
        <v>1398</v>
      </c>
      <c r="B220" s="1" t="s">
        <v>290</v>
      </c>
      <c r="C220" s="2" t="s">
        <v>218</v>
      </c>
      <c r="D220" s="5">
        <v>134500</v>
      </c>
      <c r="E220" s="4">
        <v>274.43</v>
      </c>
      <c r="F220" s="4">
        <v>310.87</v>
      </c>
      <c r="G220" s="4">
        <v>1669.0400000000002</v>
      </c>
      <c r="H220" s="4">
        <v>1979.9099999999999</v>
      </c>
      <c r="I220" s="4">
        <v>78.13</v>
      </c>
      <c r="J220" s="4">
        <v>240.43</v>
      </c>
      <c r="K220" s="6">
        <v>134.55000000000001</v>
      </c>
      <c r="L220" s="4">
        <v>314.64</v>
      </c>
    </row>
    <row r="221" spans="1:12" ht="18.399999999999999" x14ac:dyDescent="0.45">
      <c r="A221" s="1">
        <v>1398</v>
      </c>
      <c r="B221" s="1" t="s">
        <v>291</v>
      </c>
      <c r="C221" s="2" t="s">
        <v>219</v>
      </c>
      <c r="D221" s="5">
        <v>123500</v>
      </c>
      <c r="E221" s="4">
        <v>277.43</v>
      </c>
      <c r="F221" s="4">
        <v>318.63</v>
      </c>
      <c r="G221" s="4">
        <v>1705.0700000000002</v>
      </c>
      <c r="H221" s="4">
        <v>2023.7</v>
      </c>
      <c r="I221" s="4">
        <v>82.61</v>
      </c>
      <c r="J221" s="4">
        <v>244.76999999999998</v>
      </c>
      <c r="K221" s="6">
        <v>131.47999999999999</v>
      </c>
      <c r="L221" s="4">
        <v>323.88</v>
      </c>
    </row>
    <row r="222" spans="1:12" ht="18.399999999999999" x14ac:dyDescent="0.45">
      <c r="A222" s="1">
        <v>1398</v>
      </c>
      <c r="B222" s="1" t="s">
        <v>292</v>
      </c>
      <c r="C222" s="2" t="s">
        <v>220</v>
      </c>
      <c r="D222" s="5">
        <v>117300</v>
      </c>
      <c r="E222" s="4">
        <v>286.36</v>
      </c>
      <c r="F222" s="4">
        <v>326.45</v>
      </c>
      <c r="G222" s="4">
        <v>1750.14</v>
      </c>
      <c r="H222" s="4">
        <v>2076.59</v>
      </c>
      <c r="I222" s="4">
        <v>84.16</v>
      </c>
      <c r="J222" s="4">
        <v>254.70999999999998</v>
      </c>
      <c r="K222" s="6">
        <v>125.13</v>
      </c>
      <c r="L222" s="4">
        <v>337.14</v>
      </c>
    </row>
    <row r="223" spans="1:12" ht="18.399999999999999" x14ac:dyDescent="0.45">
      <c r="A223" s="1">
        <v>1398</v>
      </c>
      <c r="B223" s="1" t="s">
        <v>293</v>
      </c>
      <c r="C223" s="2" t="s">
        <v>221</v>
      </c>
      <c r="D223" s="5">
        <v>115000</v>
      </c>
      <c r="E223" s="4">
        <v>295.12</v>
      </c>
      <c r="F223" s="4">
        <v>333.35</v>
      </c>
      <c r="G223" s="4">
        <v>1793.0900000000001</v>
      </c>
      <c r="H223" s="4">
        <v>2126.44</v>
      </c>
      <c r="I223" s="4">
        <v>87.58</v>
      </c>
      <c r="J223" s="4">
        <v>255.28000000000003</v>
      </c>
      <c r="K223" s="6">
        <v>121.88</v>
      </c>
      <c r="L223" s="4">
        <v>368.96999999999997</v>
      </c>
    </row>
    <row r="224" spans="1:12" ht="18.399999999999999" x14ac:dyDescent="0.45">
      <c r="A224" s="1">
        <v>1398</v>
      </c>
      <c r="B224" s="1" t="s">
        <v>294</v>
      </c>
      <c r="C224" s="2" t="s">
        <v>222</v>
      </c>
      <c r="D224" s="5">
        <v>114000</v>
      </c>
      <c r="E224" s="4">
        <v>294.53000000000003</v>
      </c>
      <c r="F224" s="4">
        <v>325.76</v>
      </c>
      <c r="G224" s="4">
        <v>1831.0700000000002</v>
      </c>
      <c r="H224" s="4">
        <v>2156.8000000000002</v>
      </c>
      <c r="I224" s="4">
        <v>86.17</v>
      </c>
      <c r="J224" s="4">
        <v>261.40999999999997</v>
      </c>
      <c r="K224" s="6">
        <v>120.47999999999999</v>
      </c>
      <c r="L224" s="4">
        <v>372.42999999999995</v>
      </c>
    </row>
    <row r="225" spans="1:12" ht="18.399999999999999" x14ac:dyDescent="0.45">
      <c r="A225" s="1">
        <v>1398</v>
      </c>
      <c r="B225" s="1" t="s">
        <v>295</v>
      </c>
      <c r="C225" s="2" t="s">
        <v>223</v>
      </c>
      <c r="D225" s="5">
        <v>119500</v>
      </c>
      <c r="E225" s="4">
        <v>309.63</v>
      </c>
      <c r="F225" s="4">
        <v>342.7</v>
      </c>
      <c r="G225" s="4">
        <v>1868.6</v>
      </c>
      <c r="H225" s="4">
        <v>2211.3000000000002</v>
      </c>
      <c r="I225" s="4">
        <v>87.89</v>
      </c>
      <c r="J225" s="4">
        <v>265.43</v>
      </c>
      <c r="K225" s="6">
        <v>117.07000000000001</v>
      </c>
      <c r="L225" s="4">
        <v>389.26000000000005</v>
      </c>
    </row>
    <row r="226" spans="1:12" ht="18.399999999999999" x14ac:dyDescent="0.45">
      <c r="A226" s="1">
        <v>1398</v>
      </c>
      <c r="B226" s="1" t="s">
        <v>296</v>
      </c>
      <c r="C226" s="2" t="s">
        <v>224</v>
      </c>
      <c r="D226" s="5">
        <v>133200</v>
      </c>
      <c r="E226" s="4">
        <v>314.25</v>
      </c>
      <c r="F226" s="4">
        <v>363.48</v>
      </c>
      <c r="G226" s="4">
        <v>1898.83</v>
      </c>
      <c r="H226" s="4">
        <v>2262.31</v>
      </c>
      <c r="I226" s="4">
        <v>88.06</v>
      </c>
      <c r="J226" s="4">
        <v>270.03000000000003</v>
      </c>
      <c r="K226" s="6">
        <v>111.41</v>
      </c>
      <c r="L226" s="4">
        <v>403.35</v>
      </c>
    </row>
    <row r="227" spans="1:12" ht="18.399999999999999" x14ac:dyDescent="0.45">
      <c r="A227" s="1">
        <v>1398</v>
      </c>
      <c r="B227" s="1" t="s">
        <v>297</v>
      </c>
      <c r="C227" s="2" t="s">
        <v>225</v>
      </c>
      <c r="D227" s="5">
        <v>135500</v>
      </c>
      <c r="E227" s="4">
        <v>315.62</v>
      </c>
      <c r="F227" s="4">
        <v>382.91999999999996</v>
      </c>
      <c r="G227" s="4">
        <v>1929.3700000000001</v>
      </c>
      <c r="H227" s="4">
        <v>2312.29</v>
      </c>
      <c r="I227" s="4">
        <v>87.94</v>
      </c>
      <c r="J227" s="4">
        <v>278.87</v>
      </c>
      <c r="K227" s="6">
        <v>106.16999999999999</v>
      </c>
      <c r="L227" s="4">
        <v>414.83000000000004</v>
      </c>
    </row>
    <row r="228" spans="1:12" ht="18.399999999999999" x14ac:dyDescent="0.45">
      <c r="A228" s="1">
        <v>1398</v>
      </c>
      <c r="B228" s="1" t="s">
        <v>298</v>
      </c>
      <c r="C228" s="2" t="s">
        <v>226</v>
      </c>
      <c r="D228" s="5">
        <v>144000</v>
      </c>
      <c r="E228" s="4">
        <v>328.48</v>
      </c>
      <c r="F228" s="4">
        <v>415.66</v>
      </c>
      <c r="G228" s="4">
        <v>1963.4099999999999</v>
      </c>
      <c r="H228" s="4">
        <v>2379.0700000000002</v>
      </c>
      <c r="I228" s="4">
        <v>88.87</v>
      </c>
      <c r="J228" s="4">
        <v>282.96999999999997</v>
      </c>
      <c r="K228" s="6">
        <v>105.9</v>
      </c>
      <c r="L228" s="4">
        <v>420.01000000000005</v>
      </c>
    </row>
    <row r="229" spans="1:12" ht="18.399999999999999" x14ac:dyDescent="0.45">
      <c r="A229" s="1">
        <v>1398</v>
      </c>
      <c r="B229" s="1" t="s">
        <v>299</v>
      </c>
      <c r="C229" s="2" t="s">
        <v>227</v>
      </c>
      <c r="D229" s="5">
        <v>161000</v>
      </c>
      <c r="E229" s="4">
        <v>352.85</v>
      </c>
      <c r="F229" s="4">
        <v>427.3</v>
      </c>
      <c r="G229" s="4">
        <v>2044.85</v>
      </c>
      <c r="H229" s="4">
        <v>2472.15</v>
      </c>
      <c r="I229" s="4">
        <v>76.429999999999993</v>
      </c>
      <c r="J229" s="4">
        <v>293.28000000000003</v>
      </c>
      <c r="K229" s="6">
        <v>110.69000000000001</v>
      </c>
      <c r="L229" s="4">
        <v>463.2299999999999</v>
      </c>
    </row>
    <row r="230" spans="1:12" ht="18.399999999999999" x14ac:dyDescent="0.45">
      <c r="A230" s="1">
        <v>1399</v>
      </c>
      <c r="B230" s="1" t="s">
        <v>288</v>
      </c>
      <c r="C230" s="2" t="s">
        <v>228</v>
      </c>
      <c r="D230" s="5">
        <v>156800</v>
      </c>
      <c r="E230" s="4">
        <v>365.05</v>
      </c>
      <c r="F230" s="4">
        <v>429.37</v>
      </c>
      <c r="G230" s="4">
        <v>2084.71</v>
      </c>
      <c r="H230" s="4">
        <v>2514.08</v>
      </c>
      <c r="I230" s="4">
        <v>92.39</v>
      </c>
      <c r="J230" s="4">
        <v>282.94</v>
      </c>
      <c r="K230" s="6">
        <v>101.22</v>
      </c>
      <c r="L230" s="4">
        <v>475.57</v>
      </c>
    </row>
    <row r="231" spans="1:12" ht="18.399999999999999" x14ac:dyDescent="0.45">
      <c r="A231" s="1">
        <v>1399</v>
      </c>
      <c r="B231" s="1" t="s">
        <v>289</v>
      </c>
      <c r="C231" s="2" t="s">
        <v>229</v>
      </c>
      <c r="D231" s="5">
        <v>179000</v>
      </c>
      <c r="E231" s="4">
        <v>374.82</v>
      </c>
      <c r="F231" s="4">
        <v>471.81000000000006</v>
      </c>
      <c r="G231" s="4">
        <v>2123.02</v>
      </c>
      <c r="H231" s="4">
        <v>2594.83</v>
      </c>
      <c r="I231" s="4">
        <v>96.72</v>
      </c>
      <c r="J231" s="4">
        <v>288.58000000000004</v>
      </c>
      <c r="K231" s="6">
        <v>107.58</v>
      </c>
      <c r="L231" s="4">
        <v>485.86</v>
      </c>
    </row>
    <row r="232" spans="1:12" ht="18.399999999999999" x14ac:dyDescent="0.45">
      <c r="A232" s="1">
        <v>1399</v>
      </c>
      <c r="B232" s="1" t="s">
        <v>290</v>
      </c>
      <c r="C232" s="2" t="s">
        <v>230</v>
      </c>
      <c r="D232" s="5">
        <v>193400</v>
      </c>
      <c r="E232" s="4">
        <v>383.35</v>
      </c>
      <c r="F232" s="4">
        <v>502.05</v>
      </c>
      <c r="G232" s="4">
        <v>2155.12</v>
      </c>
      <c r="H232" s="4">
        <v>2657.17</v>
      </c>
      <c r="I232" s="4">
        <v>96.97</v>
      </c>
      <c r="J232" s="4">
        <v>301.89</v>
      </c>
      <c r="K232" s="6">
        <v>113.29</v>
      </c>
      <c r="L232" s="4">
        <v>512.15</v>
      </c>
    </row>
    <row r="233" spans="1:12" ht="18.399999999999999" x14ac:dyDescent="0.45">
      <c r="A233" s="1">
        <v>1399</v>
      </c>
      <c r="B233" s="1" t="s">
        <v>291</v>
      </c>
      <c r="C233" s="2" t="s">
        <v>231</v>
      </c>
      <c r="D233" s="5">
        <v>217000</v>
      </c>
      <c r="E233" s="4">
        <v>362.86</v>
      </c>
      <c r="F233" s="4">
        <v>555.91000000000008</v>
      </c>
      <c r="G233" s="4">
        <v>2183.87</v>
      </c>
      <c r="H233" s="4">
        <v>2739.7799999999997</v>
      </c>
      <c r="I233" s="4">
        <v>99.33</v>
      </c>
      <c r="J233" s="4">
        <v>331.34000000000003</v>
      </c>
      <c r="K233" s="6">
        <v>111.21999999999998</v>
      </c>
      <c r="L233" s="4">
        <v>511.18999999999994</v>
      </c>
    </row>
    <row r="234" spans="1:12" ht="18.399999999999999" x14ac:dyDescent="0.45">
      <c r="A234" s="1">
        <v>1399</v>
      </c>
      <c r="B234" s="1" t="s">
        <v>292</v>
      </c>
      <c r="C234" s="2" t="s">
        <v>232</v>
      </c>
      <c r="D234" s="5">
        <v>231700</v>
      </c>
      <c r="E234" s="4">
        <v>363.2</v>
      </c>
      <c r="F234" s="4">
        <v>573</v>
      </c>
      <c r="G234" s="4">
        <v>2246.9299999999998</v>
      </c>
      <c r="H234" s="4">
        <v>2819.93</v>
      </c>
      <c r="I234" s="4">
        <v>98.91</v>
      </c>
      <c r="J234" s="4">
        <v>340.13</v>
      </c>
      <c r="K234" s="6">
        <v>116.30999999999999</v>
      </c>
      <c r="L234" s="4">
        <v>505.6</v>
      </c>
    </row>
    <row r="235" spans="1:12" ht="18.399999999999999" x14ac:dyDescent="0.45">
      <c r="A235" s="1">
        <v>1399</v>
      </c>
      <c r="B235" s="1" t="s">
        <v>293</v>
      </c>
      <c r="C235" s="2" t="s">
        <v>233</v>
      </c>
      <c r="D235" s="5">
        <v>272500</v>
      </c>
      <c r="E235" s="4">
        <v>372.06</v>
      </c>
      <c r="F235" s="4">
        <v>662.7</v>
      </c>
      <c r="G235" s="4">
        <v>2295.19</v>
      </c>
      <c r="H235" s="4">
        <v>2895.8900000000003</v>
      </c>
      <c r="I235" s="4">
        <v>103.84</v>
      </c>
      <c r="J235" s="4">
        <v>357.78000000000003</v>
      </c>
      <c r="K235" s="6">
        <v>129.19</v>
      </c>
      <c r="L235" s="4">
        <v>490.39</v>
      </c>
    </row>
    <row r="236" spans="1:12" ht="18.399999999999999" x14ac:dyDescent="0.45">
      <c r="A236" s="1">
        <v>1399</v>
      </c>
      <c r="B236" s="1" t="s">
        <v>294</v>
      </c>
      <c r="C236" s="2" t="s">
        <v>234</v>
      </c>
      <c r="D236" s="5">
        <v>295000</v>
      </c>
      <c r="E236" s="4">
        <v>388.61</v>
      </c>
      <c r="F236" s="4">
        <v>614.33000000000004</v>
      </c>
      <c r="G236" s="4">
        <v>2345.65</v>
      </c>
      <c r="H236" s="4">
        <v>2959.98</v>
      </c>
      <c r="I236" s="4">
        <v>94.7</v>
      </c>
      <c r="J236" s="4">
        <v>362.08000000000004</v>
      </c>
      <c r="K236" s="6">
        <v>146.09</v>
      </c>
      <c r="L236" s="4">
        <v>509.46000000000004</v>
      </c>
    </row>
    <row r="237" spans="1:12" ht="18.399999999999999" x14ac:dyDescent="0.45">
      <c r="A237" s="1">
        <v>1399</v>
      </c>
      <c r="B237" s="1" t="s">
        <v>295</v>
      </c>
      <c r="C237" s="2" t="s">
        <v>235</v>
      </c>
      <c r="D237" s="5">
        <v>260000</v>
      </c>
      <c r="E237" s="4">
        <v>398.06</v>
      </c>
      <c r="F237" s="4">
        <v>616.81000000000006</v>
      </c>
      <c r="G237" s="4">
        <v>2422.1099999999997</v>
      </c>
      <c r="H237" s="4">
        <v>3038.92</v>
      </c>
      <c r="I237" s="4">
        <v>101.61</v>
      </c>
      <c r="J237" s="4">
        <v>363.39</v>
      </c>
      <c r="K237" s="6">
        <v>131.60999999999999</v>
      </c>
      <c r="L237" s="4">
        <v>528.06000000000006</v>
      </c>
    </row>
    <row r="238" spans="1:12" ht="18.399999999999999" x14ac:dyDescent="0.45">
      <c r="A238" s="1">
        <v>1399</v>
      </c>
      <c r="B238" s="1" t="s">
        <v>296</v>
      </c>
      <c r="C238" s="2" t="s">
        <v>236</v>
      </c>
      <c r="D238" s="5">
        <v>257200</v>
      </c>
      <c r="E238" s="4">
        <v>407.54</v>
      </c>
      <c r="F238" s="4">
        <v>617.03</v>
      </c>
      <c r="G238" s="4">
        <v>2512.9900000000002</v>
      </c>
      <c r="H238" s="4">
        <v>3130.02</v>
      </c>
      <c r="I238" s="4">
        <v>111.53</v>
      </c>
      <c r="J238" s="4">
        <v>365.46999999999997</v>
      </c>
      <c r="K238" s="6">
        <v>126.84</v>
      </c>
      <c r="L238" s="4">
        <v>528.82000000000005</v>
      </c>
    </row>
    <row r="239" spans="1:12" ht="18.399999999999999" x14ac:dyDescent="0.45">
      <c r="A239" s="1">
        <v>1399</v>
      </c>
      <c r="B239" s="1" t="s">
        <v>297</v>
      </c>
      <c r="C239" s="2" t="s">
        <v>237</v>
      </c>
      <c r="D239" s="5">
        <v>221000</v>
      </c>
      <c r="E239" s="4">
        <v>419.1</v>
      </c>
      <c r="F239" s="4">
        <v>627.25</v>
      </c>
      <c r="G239" s="4">
        <v>2591.84</v>
      </c>
      <c r="H239" s="4">
        <v>3219.09</v>
      </c>
      <c r="I239" s="4">
        <v>115.04</v>
      </c>
      <c r="J239" s="4">
        <v>372.84000000000003</v>
      </c>
      <c r="K239" s="6">
        <v>119.92999999999999</v>
      </c>
      <c r="L239" s="4">
        <v>539.89</v>
      </c>
    </row>
    <row r="240" spans="1:12" ht="18.399999999999999" x14ac:dyDescent="0.45">
      <c r="A240" s="1">
        <v>1399</v>
      </c>
      <c r="B240" s="1" t="s">
        <v>298</v>
      </c>
      <c r="C240" s="2" t="s">
        <v>238</v>
      </c>
      <c r="D240" s="5">
        <v>260000</v>
      </c>
      <c r="E240" s="4">
        <v>436.1</v>
      </c>
      <c r="F240" s="4">
        <v>652.20000000000005</v>
      </c>
      <c r="G240" s="4">
        <v>2657.3900000000003</v>
      </c>
      <c r="H240" s="4">
        <v>3309.59</v>
      </c>
      <c r="I240" s="4">
        <v>115.64000000000001</v>
      </c>
      <c r="J240" s="4">
        <v>377.27</v>
      </c>
      <c r="K240" s="6">
        <v>119.22999999999999</v>
      </c>
      <c r="L240" s="4">
        <v>539.93999999999994</v>
      </c>
    </row>
    <row r="241" spans="1:12" ht="18.399999999999999" x14ac:dyDescent="0.45">
      <c r="A241" s="1">
        <v>1399</v>
      </c>
      <c r="B241" s="1" t="s">
        <v>299</v>
      </c>
      <c r="C241" s="2" t="s">
        <v>239</v>
      </c>
      <c r="D241" s="5">
        <v>252000</v>
      </c>
      <c r="E241" s="4">
        <v>458.89</v>
      </c>
      <c r="F241" s="4">
        <v>690.96</v>
      </c>
      <c r="G241" s="4">
        <v>2785.21</v>
      </c>
      <c r="H241" s="4">
        <v>3476.1699999999996</v>
      </c>
      <c r="I241" s="4">
        <v>115.22</v>
      </c>
      <c r="J241" s="4">
        <v>396.96999999999997</v>
      </c>
      <c r="K241" s="6">
        <v>117.14000000000001</v>
      </c>
      <c r="L241" s="4">
        <v>587.75</v>
      </c>
    </row>
    <row r="242" spans="1:12" ht="18.399999999999999" x14ac:dyDescent="0.45">
      <c r="A242" s="1">
        <v>1400</v>
      </c>
      <c r="B242" s="1" t="s">
        <v>288</v>
      </c>
      <c r="C242" s="2" t="s">
        <v>240</v>
      </c>
      <c r="D242" s="5">
        <v>242000</v>
      </c>
      <c r="E242" s="4">
        <v>465.25</v>
      </c>
      <c r="F242" s="4">
        <v>660.76</v>
      </c>
      <c r="G242" s="4">
        <v>2829.31</v>
      </c>
      <c r="H242" s="4">
        <v>3490.0699999999997</v>
      </c>
      <c r="I242" s="4">
        <v>135.63</v>
      </c>
      <c r="J242" s="4">
        <v>413.39</v>
      </c>
      <c r="K242" s="6">
        <v>115.02000000000001</v>
      </c>
      <c r="L242" s="4">
        <v>583.04000000000008</v>
      </c>
    </row>
    <row r="243" spans="1:12" ht="18.399999999999999" x14ac:dyDescent="0.45">
      <c r="A243" s="1">
        <v>1400</v>
      </c>
      <c r="B243" s="1" t="s">
        <v>289</v>
      </c>
      <c r="C243" s="2" t="s">
        <v>241</v>
      </c>
      <c r="D243" s="5">
        <v>230000</v>
      </c>
      <c r="E243" s="4">
        <v>493.05</v>
      </c>
      <c r="F243" s="4">
        <v>694.23</v>
      </c>
      <c r="G243" s="4">
        <v>2906.55</v>
      </c>
      <c r="H243" s="4">
        <v>3600.78</v>
      </c>
      <c r="I243" s="4">
        <v>151.1</v>
      </c>
      <c r="J243" s="4">
        <v>420.36</v>
      </c>
      <c r="K243" s="6">
        <v>115.77000000000001</v>
      </c>
      <c r="L243" s="4">
        <v>658.72</v>
      </c>
    </row>
    <row r="244" spans="1:12" ht="18.399999999999999" x14ac:dyDescent="0.45">
      <c r="A244" s="1">
        <v>1400</v>
      </c>
      <c r="B244" s="1" t="s">
        <v>290</v>
      </c>
      <c r="C244" s="2" t="s">
        <v>242</v>
      </c>
      <c r="D244" s="5">
        <v>241300</v>
      </c>
      <c r="E244" s="4">
        <v>500.9</v>
      </c>
      <c r="F244" s="4">
        <v>726.18999999999994</v>
      </c>
      <c r="G244" s="4">
        <v>2979.21</v>
      </c>
      <c r="H244" s="4">
        <v>3705.4</v>
      </c>
      <c r="I244" s="4">
        <v>165.27</v>
      </c>
      <c r="J244" s="4">
        <v>421.63</v>
      </c>
      <c r="K244" s="6">
        <v>113.44000000000001</v>
      </c>
      <c r="L244" s="4">
        <v>666.99</v>
      </c>
    </row>
    <row r="245" spans="1:12" ht="18.399999999999999" x14ac:dyDescent="0.45">
      <c r="A245" s="1">
        <v>1400</v>
      </c>
      <c r="B245" s="1" t="s">
        <v>291</v>
      </c>
      <c r="C245" s="2" t="s">
        <v>243</v>
      </c>
      <c r="D245" s="5">
        <v>246500</v>
      </c>
      <c r="E245" s="4">
        <v>517.45000000000005</v>
      </c>
      <c r="F245" s="4">
        <v>749.85</v>
      </c>
      <c r="G245" s="4">
        <v>3070.13</v>
      </c>
      <c r="H245" s="4">
        <v>3819.9800000000005</v>
      </c>
      <c r="I245" s="4">
        <v>163.69999999999999</v>
      </c>
      <c r="J245" s="4">
        <v>417.5</v>
      </c>
      <c r="K245" s="6">
        <v>118.1</v>
      </c>
      <c r="L245" s="4">
        <v>675.53</v>
      </c>
    </row>
    <row r="246" spans="1:12" ht="18.399999999999999" x14ac:dyDescent="0.45">
      <c r="A246" s="1">
        <v>1400</v>
      </c>
      <c r="B246" s="1" t="s">
        <v>292</v>
      </c>
      <c r="C246" s="2" t="s">
        <v>244</v>
      </c>
      <c r="D246" s="5">
        <v>275000</v>
      </c>
      <c r="E246" s="4">
        <v>515.93999999999994</v>
      </c>
      <c r="F246" s="4">
        <v>781.56999999999994</v>
      </c>
      <c r="G246" s="4">
        <v>3139.8599999999997</v>
      </c>
      <c r="H246" s="4">
        <v>3921.4300000000003</v>
      </c>
      <c r="I246" s="4">
        <v>165.55</v>
      </c>
      <c r="J246" s="4">
        <v>428.37</v>
      </c>
      <c r="K246" s="6">
        <v>124.24000000000001</v>
      </c>
      <c r="L246" s="4">
        <v>679.53</v>
      </c>
    </row>
    <row r="247" spans="1:12" ht="18.399999999999999" x14ac:dyDescent="0.45">
      <c r="A247" s="1">
        <v>1400</v>
      </c>
      <c r="B247" s="1" t="s">
        <v>293</v>
      </c>
      <c r="C247" s="2" t="s">
        <v>245</v>
      </c>
      <c r="D247" s="5">
        <v>275300</v>
      </c>
      <c r="E247" s="4">
        <v>518.91999999999996</v>
      </c>
      <c r="F247" s="4">
        <v>816.49</v>
      </c>
      <c r="G247" s="4">
        <v>3251.1099999999997</v>
      </c>
      <c r="H247" s="4">
        <v>4067.6</v>
      </c>
      <c r="I247" s="4">
        <v>159.57999999999998</v>
      </c>
      <c r="J247" s="4">
        <v>441.96999999999997</v>
      </c>
      <c r="K247" s="6">
        <v>127.35</v>
      </c>
      <c r="L247" s="4">
        <v>699.88</v>
      </c>
    </row>
    <row r="248" spans="1:12" ht="18.399999999999999" x14ac:dyDescent="0.45">
      <c r="A248" s="1">
        <v>1400</v>
      </c>
      <c r="B248" s="1" t="s">
        <v>294</v>
      </c>
      <c r="C248" s="2" t="s">
        <v>246</v>
      </c>
      <c r="D248" s="5">
        <v>274500</v>
      </c>
      <c r="E248" s="4">
        <v>530.1</v>
      </c>
      <c r="F248" s="4">
        <v>818.68000000000006</v>
      </c>
      <c r="G248" s="4">
        <v>3408.7400000000002</v>
      </c>
      <c r="H248" s="4">
        <v>4227.42</v>
      </c>
      <c r="I248" s="4">
        <v>165.8</v>
      </c>
      <c r="J248" s="4">
        <v>443.53999999999996</v>
      </c>
      <c r="K248" s="6">
        <v>156.37</v>
      </c>
      <c r="L248" s="4">
        <v>707.08999999999992</v>
      </c>
    </row>
    <row r="249" spans="1:12" ht="18.399999999999999" x14ac:dyDescent="0.45">
      <c r="A249" s="1">
        <v>1400</v>
      </c>
      <c r="B249" s="1" t="s">
        <v>295</v>
      </c>
      <c r="C249" s="2" t="s">
        <v>247</v>
      </c>
      <c r="D249" s="5">
        <v>283800</v>
      </c>
      <c r="E249" s="4">
        <v>540.37</v>
      </c>
      <c r="F249" s="4">
        <v>839.82999999999993</v>
      </c>
      <c r="G249" s="4">
        <v>3476.0699999999997</v>
      </c>
      <c r="H249" s="4">
        <v>4315.8999999999996</v>
      </c>
      <c r="I249" s="4">
        <v>165.54000000000002</v>
      </c>
      <c r="J249" s="4">
        <v>423.16999999999996</v>
      </c>
      <c r="K249" s="6">
        <v>142.06</v>
      </c>
      <c r="L249" s="4">
        <v>704.43999999999994</v>
      </c>
    </row>
    <row r="250" spans="1:12" ht="18.399999999999999" x14ac:dyDescent="0.45">
      <c r="A250" s="1">
        <v>1400</v>
      </c>
      <c r="B250" s="1" t="s">
        <v>296</v>
      </c>
      <c r="C250" s="2" t="s">
        <v>248</v>
      </c>
      <c r="D250" s="5">
        <v>302800</v>
      </c>
      <c r="E250" s="4">
        <v>560.86</v>
      </c>
      <c r="F250" s="4">
        <v>877.9</v>
      </c>
      <c r="G250" s="4">
        <v>3549.09</v>
      </c>
      <c r="H250" s="4">
        <v>4426.99</v>
      </c>
      <c r="I250" s="4">
        <v>160.19999999999999</v>
      </c>
      <c r="J250" s="4">
        <v>413.52</v>
      </c>
      <c r="K250" s="6">
        <v>153.82</v>
      </c>
      <c r="L250" s="4">
        <v>698.12999999999988</v>
      </c>
    </row>
    <row r="251" spans="1:12" ht="18.399999999999999" x14ac:dyDescent="0.45">
      <c r="A251" s="1">
        <v>1400</v>
      </c>
      <c r="B251" s="1" t="s">
        <v>297</v>
      </c>
      <c r="C251" s="2" t="s">
        <v>249</v>
      </c>
      <c r="D251" s="5">
        <v>279500</v>
      </c>
      <c r="E251" s="4">
        <v>567.91999999999996</v>
      </c>
      <c r="F251" s="4">
        <v>873.37999999999988</v>
      </c>
      <c r="G251" s="4">
        <v>3628.0800000000004</v>
      </c>
      <c r="H251" s="4">
        <v>4501.46</v>
      </c>
      <c r="I251" s="4">
        <v>167.1</v>
      </c>
      <c r="J251" s="4">
        <v>405.91999999999996</v>
      </c>
      <c r="K251" s="6">
        <v>175.3</v>
      </c>
      <c r="L251" s="4">
        <v>716.31000000000006</v>
      </c>
    </row>
    <row r="252" spans="1:12" ht="18.399999999999999" x14ac:dyDescent="0.45">
      <c r="A252" s="1">
        <v>1400</v>
      </c>
      <c r="B252" s="1" t="s">
        <v>298</v>
      </c>
      <c r="C252" s="2" t="s">
        <v>250</v>
      </c>
      <c r="D252" s="5">
        <v>262000</v>
      </c>
      <c r="E252" s="4">
        <v>580.75</v>
      </c>
      <c r="F252" s="4">
        <v>916.24</v>
      </c>
      <c r="G252" s="4">
        <v>3707.79</v>
      </c>
      <c r="H252" s="4">
        <v>4624.0300000000007</v>
      </c>
      <c r="I252" s="4">
        <v>168.14000000000001</v>
      </c>
      <c r="J252" s="4">
        <v>416.11</v>
      </c>
      <c r="K252" s="6">
        <v>186.05</v>
      </c>
      <c r="L252" s="4">
        <v>719.64</v>
      </c>
    </row>
    <row r="253" spans="1:12" ht="18.399999999999999" x14ac:dyDescent="0.45">
      <c r="A253" s="1">
        <v>1400</v>
      </c>
      <c r="B253" s="1" t="s">
        <v>299</v>
      </c>
      <c r="C253" s="2" t="s">
        <v>251</v>
      </c>
      <c r="D253" s="5">
        <v>263000</v>
      </c>
      <c r="E253" s="4">
        <v>603.97</v>
      </c>
      <c r="F253" s="4">
        <v>986.57999999999993</v>
      </c>
      <c r="G253" s="4">
        <v>3845.8599999999997</v>
      </c>
      <c r="H253" s="4">
        <v>4832.4400000000005</v>
      </c>
      <c r="I253" s="4">
        <v>132.74</v>
      </c>
      <c r="J253" s="4">
        <v>454.27</v>
      </c>
      <c r="K253" s="6">
        <v>146.34</v>
      </c>
      <c r="L253" s="4">
        <v>843.8</v>
      </c>
    </row>
    <row r="254" spans="1:12" ht="18.399999999999999" x14ac:dyDescent="0.45">
      <c r="A254" s="1">
        <v>1401</v>
      </c>
      <c r="B254" s="1" t="s">
        <v>288</v>
      </c>
      <c r="C254" s="2" t="s">
        <v>252</v>
      </c>
      <c r="D254" s="5">
        <v>277500</v>
      </c>
      <c r="E254" s="4">
        <v>611.78</v>
      </c>
      <c r="F254" s="4">
        <v>951.9799999999999</v>
      </c>
      <c r="G254" s="4">
        <v>3871.31</v>
      </c>
      <c r="H254" s="4">
        <v>4823.29</v>
      </c>
      <c r="I254" s="4">
        <v>131.97</v>
      </c>
      <c r="J254" s="4">
        <v>449.28999999999996</v>
      </c>
      <c r="K254" s="6">
        <v>143.16</v>
      </c>
      <c r="L254" s="4">
        <v>838.01</v>
      </c>
    </row>
    <row r="255" spans="1:12" ht="18.399999999999999" x14ac:dyDescent="0.45">
      <c r="A255" s="1">
        <v>1401</v>
      </c>
      <c r="B255" s="1" t="s">
        <v>289</v>
      </c>
      <c r="C255" s="2" t="s">
        <v>253</v>
      </c>
      <c r="D255" s="5">
        <v>304500</v>
      </c>
      <c r="E255" s="4">
        <v>643.21</v>
      </c>
      <c r="F255" s="4">
        <v>1009.47</v>
      </c>
      <c r="G255" s="4">
        <v>3934</v>
      </c>
      <c r="H255" s="4">
        <v>4943.4699999999993</v>
      </c>
      <c r="I255" s="4">
        <v>133.87</v>
      </c>
      <c r="J255" s="4">
        <v>470.64</v>
      </c>
      <c r="K255" s="6">
        <v>137.47</v>
      </c>
      <c r="L255" s="4">
        <v>821.2700000000001</v>
      </c>
    </row>
    <row r="256" spans="1:12" ht="18.399999999999999" x14ac:dyDescent="0.45">
      <c r="A256" s="1">
        <v>1401</v>
      </c>
      <c r="B256" s="1" t="s">
        <v>290</v>
      </c>
      <c r="C256" s="2" t="s">
        <v>254</v>
      </c>
      <c r="D256" s="5">
        <v>318500</v>
      </c>
      <c r="E256" s="4">
        <v>640.37</v>
      </c>
      <c r="F256" s="4">
        <v>1126.8399999999999</v>
      </c>
      <c r="G256" s="4">
        <v>3978.12</v>
      </c>
      <c r="H256" s="4">
        <v>5104.96</v>
      </c>
      <c r="I256" s="4">
        <v>150.42000000000002</v>
      </c>
      <c r="J256" s="4">
        <v>481.13</v>
      </c>
      <c r="K256" s="6">
        <v>145.02000000000001</v>
      </c>
      <c r="L256" s="4">
        <v>845.7</v>
      </c>
    </row>
    <row r="257" spans="1:12" ht="18.399999999999999" x14ac:dyDescent="0.45">
      <c r="A257" s="1">
        <v>1401</v>
      </c>
      <c r="B257" s="1" t="s">
        <v>291</v>
      </c>
      <c r="C257" s="2" t="s">
        <v>255</v>
      </c>
      <c r="D257" s="5">
        <v>319000</v>
      </c>
      <c r="E257" s="4">
        <v>653.03</v>
      </c>
      <c r="F257" s="4">
        <v>1182</v>
      </c>
      <c r="G257" s="4">
        <v>4068.1400000000003</v>
      </c>
      <c r="H257" s="4">
        <v>5250.14</v>
      </c>
      <c r="I257" s="4">
        <v>152.06</v>
      </c>
      <c r="J257" s="4">
        <v>514.63</v>
      </c>
      <c r="K257" s="6">
        <v>176.27</v>
      </c>
      <c r="L257" s="4">
        <v>851.16000000000008</v>
      </c>
    </row>
    <row r="258" spans="1:12" ht="18.399999999999999" x14ac:dyDescent="0.45">
      <c r="A258" s="1">
        <v>1401</v>
      </c>
      <c r="B258" s="1" t="s">
        <v>292</v>
      </c>
      <c r="C258" s="2" t="s">
        <v>256</v>
      </c>
      <c r="D258" s="5">
        <v>290000</v>
      </c>
      <c r="E258" s="4">
        <v>672.43999999999994</v>
      </c>
      <c r="F258" s="4">
        <v>1216.31</v>
      </c>
      <c r="G258" s="4">
        <v>4185.4800000000005</v>
      </c>
      <c r="H258" s="4">
        <v>5401.79</v>
      </c>
      <c r="I258" s="4">
        <v>156.94999999999999</v>
      </c>
      <c r="J258" s="4">
        <v>504.25</v>
      </c>
      <c r="K258" s="6">
        <v>170.95</v>
      </c>
      <c r="L258" s="4">
        <v>874.6</v>
      </c>
    </row>
    <row r="259" spans="1:12" ht="18.399999999999999" x14ac:dyDescent="0.45">
      <c r="A259" s="1">
        <v>1401</v>
      </c>
      <c r="B259" s="1" t="s">
        <v>293</v>
      </c>
      <c r="C259" s="2" t="s">
        <v>257</v>
      </c>
      <c r="D259" s="5">
        <v>317600</v>
      </c>
      <c r="E259" s="4">
        <v>690.73</v>
      </c>
      <c r="F259" s="4">
        <v>1274.25</v>
      </c>
      <c r="G259" s="4">
        <v>4320.68</v>
      </c>
      <c r="H259" s="4">
        <v>5594.93</v>
      </c>
      <c r="I259" s="4">
        <v>156.57</v>
      </c>
      <c r="J259" s="4">
        <v>531.9</v>
      </c>
      <c r="K259" s="6">
        <v>166.02</v>
      </c>
      <c r="L259" s="4">
        <v>868.93999999999994</v>
      </c>
    </row>
    <row r="260" spans="1:12" ht="18.399999999999999" x14ac:dyDescent="0.45">
      <c r="A260" s="1">
        <v>1401</v>
      </c>
      <c r="B260" s="1" t="s">
        <v>294</v>
      </c>
      <c r="C260" s="2" t="s">
        <v>258</v>
      </c>
      <c r="D260" s="5">
        <v>328400</v>
      </c>
      <c r="E260" s="4">
        <v>712.93000000000006</v>
      </c>
      <c r="F260" s="4">
        <v>1279.8700000000001</v>
      </c>
      <c r="G260" s="4">
        <v>4397.1000000000004</v>
      </c>
      <c r="H260" s="4">
        <v>5676.9699999999993</v>
      </c>
      <c r="I260" s="4">
        <v>173.05</v>
      </c>
      <c r="J260" s="4">
        <v>530.37</v>
      </c>
      <c r="K260" s="6">
        <v>197.49</v>
      </c>
      <c r="L260" s="4">
        <v>874.41000000000008</v>
      </c>
    </row>
    <row r="261" spans="1:12" ht="18.399999999999999" x14ac:dyDescent="0.45">
      <c r="A261" s="1">
        <v>1401</v>
      </c>
      <c r="B261" s="1" t="s">
        <v>295</v>
      </c>
      <c r="C261" s="2" t="s">
        <v>259</v>
      </c>
      <c r="D261" s="5">
        <v>354700</v>
      </c>
      <c r="E261" s="4">
        <v>727.6</v>
      </c>
      <c r="F261" s="4">
        <v>1350.31</v>
      </c>
      <c r="G261" s="4">
        <v>4456.5300000000007</v>
      </c>
      <c r="H261" s="4">
        <v>5806.84</v>
      </c>
      <c r="I261" s="4">
        <v>173.64000000000001</v>
      </c>
      <c r="J261" s="4">
        <v>531.73</v>
      </c>
      <c r="K261" s="6">
        <v>225.95</v>
      </c>
      <c r="L261" s="4">
        <v>880.24</v>
      </c>
    </row>
    <row r="262" spans="1:12" ht="18.399999999999999" x14ac:dyDescent="0.45">
      <c r="A262" s="1">
        <v>1401</v>
      </c>
      <c r="B262" s="1" t="s">
        <v>296</v>
      </c>
      <c r="C262" s="2" t="s">
        <v>260</v>
      </c>
      <c r="D262" s="5">
        <v>396000</v>
      </c>
      <c r="E262" s="4">
        <v>766.31000000000006</v>
      </c>
      <c r="F262" s="4">
        <v>1390.84</v>
      </c>
      <c r="G262" s="4">
        <v>4514.7699999999995</v>
      </c>
      <c r="H262" s="4">
        <v>5905.61</v>
      </c>
      <c r="I262" s="4">
        <v>171.28</v>
      </c>
      <c r="J262" s="4">
        <v>514.91000000000008</v>
      </c>
      <c r="K262" s="6">
        <v>272.36</v>
      </c>
      <c r="L262" s="4">
        <v>866.58999999999992</v>
      </c>
    </row>
    <row r="263" spans="1:12" ht="18.399999999999999" x14ac:dyDescent="0.45">
      <c r="A263" s="1">
        <v>1401</v>
      </c>
      <c r="B263" s="1" t="s">
        <v>297</v>
      </c>
      <c r="C263" s="2" t="s">
        <v>261</v>
      </c>
      <c r="D263" s="5">
        <v>430500</v>
      </c>
      <c r="E263" s="4">
        <v>785</v>
      </c>
      <c r="F263" s="4">
        <v>1489.1299999999999</v>
      </c>
      <c r="G263" s="4">
        <v>4548.4800000000005</v>
      </c>
      <c r="H263" s="4">
        <v>6037.61</v>
      </c>
      <c r="I263" s="4">
        <v>174.23</v>
      </c>
      <c r="J263" s="4">
        <v>521.24</v>
      </c>
      <c r="K263" s="6">
        <v>307.24</v>
      </c>
      <c r="L263" s="4">
        <v>859.9799999999999</v>
      </c>
    </row>
    <row r="264" spans="1:12" ht="18.399999999999999" x14ac:dyDescent="0.45">
      <c r="A264" s="1">
        <v>1401</v>
      </c>
      <c r="B264" s="1" t="s">
        <v>298</v>
      </c>
      <c r="C264" s="2" t="s">
        <v>262</v>
      </c>
      <c r="D264" s="5">
        <v>490000</v>
      </c>
      <c r="E264" s="4">
        <v>808.64</v>
      </c>
      <c r="F264" s="4">
        <v>1545.75</v>
      </c>
      <c r="G264" s="4">
        <v>4557.6900000000005</v>
      </c>
      <c r="H264" s="4">
        <v>6103.4400000000005</v>
      </c>
      <c r="I264" s="4">
        <v>183.41</v>
      </c>
      <c r="J264" s="4">
        <v>532.79999999999995</v>
      </c>
      <c r="K264" s="6">
        <v>344.07</v>
      </c>
      <c r="L264" s="4">
        <v>869.62000000000012</v>
      </c>
    </row>
    <row r="265" spans="1:12" ht="18.399999999999999" x14ac:dyDescent="0.45">
      <c r="A265" s="1">
        <v>1401</v>
      </c>
      <c r="B265" s="1" t="s">
        <v>299</v>
      </c>
      <c r="C265" s="2" t="s">
        <v>263</v>
      </c>
      <c r="D265" s="5">
        <v>494000</v>
      </c>
      <c r="E265" s="4">
        <v>859.99</v>
      </c>
      <c r="F265" s="4">
        <v>1629.69</v>
      </c>
      <c r="G265" s="4">
        <v>4707.99</v>
      </c>
      <c r="H265" s="4">
        <v>6337.68</v>
      </c>
      <c r="I265" s="4">
        <v>183.9</v>
      </c>
      <c r="J265" s="4">
        <v>749.71</v>
      </c>
      <c r="K265" s="6">
        <v>391.24</v>
      </c>
      <c r="L265" s="4">
        <v>1012.5200000000001</v>
      </c>
    </row>
    <row r="266" spans="1:12" ht="18.399999999999999" x14ac:dyDescent="0.45">
      <c r="A266" s="1">
        <v>1402</v>
      </c>
      <c r="B266" s="1" t="s">
        <v>288</v>
      </c>
      <c r="C266" s="2" t="s">
        <v>264</v>
      </c>
      <c r="D266" s="5">
        <v>514000</v>
      </c>
      <c r="E266" s="4">
        <v>887.07</v>
      </c>
      <c r="F266" s="4">
        <v>1667.17</v>
      </c>
      <c r="G266" s="4">
        <v>4751.6400000000003</v>
      </c>
      <c r="H266" s="4">
        <v>6418.8099999999995</v>
      </c>
      <c r="I266" s="4">
        <v>187.79000000000002</v>
      </c>
      <c r="J266" s="4">
        <v>744.28</v>
      </c>
      <c r="K266" s="6">
        <v>355.49</v>
      </c>
      <c r="L266" s="4">
        <v>1003.5200000000001</v>
      </c>
    </row>
    <row r="267" spans="1:12" ht="18.399999999999999" x14ac:dyDescent="0.45">
      <c r="A267" s="1">
        <v>1402</v>
      </c>
      <c r="B267" s="1" t="s">
        <v>289</v>
      </c>
      <c r="C267" s="2" t="s">
        <v>265</v>
      </c>
      <c r="D267" s="5">
        <v>518000</v>
      </c>
      <c r="E267" s="4">
        <v>907.76</v>
      </c>
      <c r="F267" s="4">
        <v>1684.2599999999998</v>
      </c>
      <c r="G267" s="4">
        <v>4787.2300000000005</v>
      </c>
      <c r="H267" s="4">
        <v>6471.49</v>
      </c>
      <c r="I267" s="4">
        <v>189.14000000000001</v>
      </c>
      <c r="J267" s="4">
        <v>758.36</v>
      </c>
      <c r="K267" s="6">
        <v>402.46</v>
      </c>
      <c r="L267" s="4">
        <v>932.36</v>
      </c>
    </row>
    <row r="268" spans="1:12" ht="18.399999999999999" x14ac:dyDescent="0.45">
      <c r="A268" s="1">
        <v>1402</v>
      </c>
      <c r="B268" s="1" t="s">
        <v>290</v>
      </c>
      <c r="C268" s="2" t="s">
        <v>266</v>
      </c>
      <c r="D268" s="5">
        <v>487500</v>
      </c>
      <c r="E268" s="4">
        <v>908.08999999999992</v>
      </c>
      <c r="F268" s="4">
        <v>1694.72</v>
      </c>
      <c r="G268" s="4">
        <v>4891.25</v>
      </c>
      <c r="H268" s="4">
        <v>6585.9699999999993</v>
      </c>
      <c r="I268" s="4">
        <v>189.41</v>
      </c>
      <c r="J268" s="4">
        <v>757.88</v>
      </c>
      <c r="K268" s="6">
        <v>393.33</v>
      </c>
      <c r="L268" s="4">
        <v>912.37000000000012</v>
      </c>
    </row>
    <row r="269" spans="1:12" ht="18.399999999999999" x14ac:dyDescent="0.45">
      <c r="A269" s="1">
        <v>1402</v>
      </c>
      <c r="B269" s="1" t="s">
        <v>291</v>
      </c>
      <c r="C269" s="2" t="s">
        <v>267</v>
      </c>
      <c r="D269" s="5">
        <v>486500</v>
      </c>
      <c r="E269" s="4">
        <v>921.37999999999988</v>
      </c>
      <c r="F269" s="4">
        <v>1696.2599999999998</v>
      </c>
      <c r="G269" s="4">
        <v>4997.79</v>
      </c>
      <c r="H269" s="4">
        <v>6694.05</v>
      </c>
      <c r="I269" s="4">
        <v>192.69</v>
      </c>
      <c r="J269" s="4">
        <v>754.06000000000006</v>
      </c>
      <c r="K269" s="6">
        <v>444.93999999999994</v>
      </c>
      <c r="L269" s="4">
        <v>882.99</v>
      </c>
    </row>
    <row r="270" spans="1:12" ht="18.399999999999999" x14ac:dyDescent="0.45">
      <c r="A270" s="1">
        <v>1402</v>
      </c>
      <c r="B270" s="1" t="s">
        <v>292</v>
      </c>
      <c r="C270" s="2" t="s">
        <v>268</v>
      </c>
      <c r="D270" s="5">
        <v>493500</v>
      </c>
      <c r="E270" s="4">
        <v>952.12999999999988</v>
      </c>
      <c r="F270" s="4">
        <v>1718.72</v>
      </c>
      <c r="G270" s="4">
        <v>5134.38</v>
      </c>
      <c r="H270" s="4">
        <v>6853.1</v>
      </c>
      <c r="I270" s="4">
        <v>196.5</v>
      </c>
      <c r="J270" s="4">
        <v>784.43000000000006</v>
      </c>
      <c r="K270" s="6">
        <v>500.28999999999996</v>
      </c>
      <c r="L270" s="4">
        <v>845.67000000000007</v>
      </c>
    </row>
    <row r="271" spans="1:12" ht="18.399999999999999" x14ac:dyDescent="0.45">
      <c r="A271" s="1">
        <v>1402</v>
      </c>
      <c r="B271" s="1" t="s">
        <v>293</v>
      </c>
      <c r="C271" s="2" t="s">
        <v>269</v>
      </c>
      <c r="D271" s="5">
        <v>494000</v>
      </c>
      <c r="E271" s="4">
        <v>981.12999999999988</v>
      </c>
      <c r="F271" s="4">
        <v>1791.3200000000002</v>
      </c>
      <c r="G271" s="4">
        <v>5307.8</v>
      </c>
      <c r="H271" s="4">
        <v>7099.12</v>
      </c>
      <c r="I271" s="4">
        <v>198.75</v>
      </c>
      <c r="J271" s="4">
        <v>824.16000000000008</v>
      </c>
      <c r="K271" s="6">
        <v>521.1</v>
      </c>
      <c r="L271" s="4">
        <v>825.99</v>
      </c>
    </row>
    <row r="272" spans="1:12" ht="18.399999999999999" x14ac:dyDescent="0.45">
      <c r="A272" s="1">
        <v>1402</v>
      </c>
      <c r="B272" s="1" t="s">
        <v>294</v>
      </c>
      <c r="C272" s="2" t="s">
        <v>270</v>
      </c>
      <c r="D272" s="5">
        <v>509000</v>
      </c>
      <c r="E272" s="4">
        <v>995.3</v>
      </c>
      <c r="F272" s="4">
        <v>1745.69</v>
      </c>
      <c r="G272" s="4">
        <v>5432.15</v>
      </c>
      <c r="H272" s="4">
        <v>7177.8399999999992</v>
      </c>
      <c r="I272" s="4">
        <v>203.06</v>
      </c>
      <c r="J272" s="4">
        <v>798.97</v>
      </c>
      <c r="K272" s="6">
        <v>581.5</v>
      </c>
      <c r="L272" s="4">
        <v>782.89</v>
      </c>
    </row>
    <row r="273" spans="1:12" ht="18.399999999999999" x14ac:dyDescent="0.45">
      <c r="A273" s="1">
        <v>1402</v>
      </c>
      <c r="B273" s="1" t="s">
        <v>295</v>
      </c>
      <c r="C273" s="2" t="s">
        <v>271</v>
      </c>
      <c r="D273" s="5">
        <v>504500</v>
      </c>
      <c r="E273" s="4">
        <v>1007.64</v>
      </c>
      <c r="F273" s="4">
        <v>1763.3</v>
      </c>
      <c r="G273" s="4">
        <v>5566.01</v>
      </c>
      <c r="H273" s="4">
        <v>7329.31</v>
      </c>
      <c r="I273" s="4">
        <v>206.66</v>
      </c>
      <c r="J273" s="4">
        <v>789.7</v>
      </c>
      <c r="K273" s="6">
        <v>613.06999999999994</v>
      </c>
      <c r="L273" s="4">
        <v>787.6</v>
      </c>
    </row>
    <row r="274" spans="1:12" ht="18.399999999999999" x14ac:dyDescent="0.45">
      <c r="A274" s="1">
        <v>1402</v>
      </c>
      <c r="B274" s="1" t="s">
        <v>296</v>
      </c>
      <c r="C274" s="2" t="s">
        <v>272</v>
      </c>
      <c r="D274" s="5">
        <v>501000</v>
      </c>
      <c r="E274" s="4">
        <v>1023.1899999999999</v>
      </c>
      <c r="F274" s="4">
        <v>1801.3700000000001</v>
      </c>
      <c r="G274" s="4">
        <v>5696.63</v>
      </c>
      <c r="H274" s="4">
        <v>7498</v>
      </c>
      <c r="I274" s="4">
        <v>207.98000000000002</v>
      </c>
      <c r="J274" s="4">
        <v>788.03</v>
      </c>
      <c r="K274" s="6">
        <v>620.5</v>
      </c>
      <c r="L274" s="4">
        <v>807.28</v>
      </c>
    </row>
    <row r="275" spans="1:12" ht="18.399999999999999" x14ac:dyDescent="0.45">
      <c r="A275" s="1">
        <v>1402</v>
      </c>
      <c r="B275" s="1" t="s">
        <v>297</v>
      </c>
      <c r="C275" s="2" t="s">
        <v>273</v>
      </c>
      <c r="D275" s="5">
        <v>541500</v>
      </c>
      <c r="E275" s="4">
        <v>1024.0999999999999</v>
      </c>
      <c r="F275" s="4">
        <v>1843.3</v>
      </c>
      <c r="G275" s="4">
        <v>5728.6</v>
      </c>
      <c r="H275" s="4">
        <v>7571.9</v>
      </c>
      <c r="I275" s="4">
        <v>297.75</v>
      </c>
      <c r="J275" s="4">
        <v>792.2</v>
      </c>
      <c r="K275" s="6">
        <v>681.2700000000001</v>
      </c>
      <c r="L275" s="4">
        <v>670.99</v>
      </c>
    </row>
    <row r="276" spans="1:12" ht="18.399999999999999" x14ac:dyDescent="0.45">
      <c r="A276" s="1">
        <v>1402</v>
      </c>
      <c r="B276" s="1" t="s">
        <v>298</v>
      </c>
      <c r="C276" s="2" t="s">
        <v>274</v>
      </c>
      <c r="D276" s="5">
        <v>570500</v>
      </c>
      <c r="E276" s="4">
        <v>1043.3399999999999</v>
      </c>
      <c r="F276" s="4">
        <v>1927.3799999999999</v>
      </c>
      <c r="G276" s="4">
        <v>5852.21</v>
      </c>
      <c r="H276" s="4">
        <v>7779.5899999999992</v>
      </c>
      <c r="I276" s="4">
        <v>302.32</v>
      </c>
      <c r="J276" s="4">
        <v>819.41000000000008</v>
      </c>
      <c r="K276" s="6">
        <v>682.12</v>
      </c>
      <c r="L276" s="4">
        <v>660.95</v>
      </c>
    </row>
    <row r="277" spans="1:12" ht="18.399999999999999" x14ac:dyDescent="0.45">
      <c r="A277" s="1">
        <v>1402</v>
      </c>
      <c r="B277" s="1" t="s">
        <v>299</v>
      </c>
      <c r="C277" s="2" t="s">
        <v>275</v>
      </c>
      <c r="D277" s="5">
        <v>609500</v>
      </c>
      <c r="E277" s="4">
        <v>1092.1299999999999</v>
      </c>
      <c r="F277" s="4">
        <v>1914.64</v>
      </c>
      <c r="G277" s="4">
        <v>5962.8099999999995</v>
      </c>
      <c r="H277" s="4">
        <v>7877.45</v>
      </c>
      <c r="I277" s="4">
        <v>319.18</v>
      </c>
      <c r="J277" s="4">
        <v>877.07999999999993</v>
      </c>
      <c r="K277" s="6">
        <v>771.35</v>
      </c>
      <c r="L277" s="4">
        <v>2191.15</v>
      </c>
    </row>
    <row r="278" spans="1:12" ht="18.399999999999999" x14ac:dyDescent="0.45">
      <c r="A278" s="1">
        <v>1403</v>
      </c>
      <c r="B278" s="1" t="s">
        <v>288</v>
      </c>
      <c r="C278" s="2" t="s">
        <v>276</v>
      </c>
      <c r="D278" s="5">
        <v>663500</v>
      </c>
      <c r="E278" s="4">
        <v>1081.78</v>
      </c>
      <c r="F278" s="4">
        <v>1928.11</v>
      </c>
      <c r="G278" s="4">
        <v>6040.18</v>
      </c>
      <c r="H278" s="4">
        <v>7968.2899999999991</v>
      </c>
      <c r="I278" s="4">
        <v>321.82</v>
      </c>
      <c r="J278" s="4">
        <v>893.29</v>
      </c>
      <c r="K278" s="6">
        <v>708.06000000000006</v>
      </c>
      <c r="L278" s="4">
        <v>2396.9499999999998</v>
      </c>
    </row>
    <row r="279" spans="1:12" ht="18.399999999999999" x14ac:dyDescent="0.45">
      <c r="A279" s="1">
        <v>1403</v>
      </c>
      <c r="B279" s="1" t="s">
        <v>289</v>
      </c>
      <c r="C279" s="2" t="s">
        <v>277</v>
      </c>
      <c r="D279" s="5">
        <v>582500</v>
      </c>
      <c r="E279" s="4">
        <v>1093.6100000000001</v>
      </c>
      <c r="F279" s="4">
        <v>1954.2099999999998</v>
      </c>
      <c r="G279" s="4">
        <v>6175.46</v>
      </c>
      <c r="H279" s="4">
        <v>8129.67</v>
      </c>
      <c r="I279" s="4">
        <v>322.89999999999998</v>
      </c>
      <c r="J279" s="4">
        <v>933.18</v>
      </c>
      <c r="K279" s="6">
        <v>693.24</v>
      </c>
      <c r="L279" s="4">
        <v>2445.1699999999996</v>
      </c>
    </row>
    <row r="280" spans="1:12" ht="18.399999999999999" x14ac:dyDescent="0.45">
      <c r="A280" s="1">
        <v>1403</v>
      </c>
      <c r="B280" s="1" t="s">
        <v>290</v>
      </c>
      <c r="C280" s="2" t="s">
        <v>278</v>
      </c>
      <c r="D280" s="5">
        <v>590000</v>
      </c>
      <c r="E280" s="4">
        <v>1113.03</v>
      </c>
      <c r="F280" s="4">
        <v>2053.66</v>
      </c>
      <c r="G280" s="4">
        <v>6300.33</v>
      </c>
      <c r="H280" s="4">
        <v>8353.99</v>
      </c>
      <c r="I280" s="4">
        <v>326.46999999999997</v>
      </c>
      <c r="J280" s="4">
        <v>986.07</v>
      </c>
      <c r="K280" s="6">
        <v>668.48</v>
      </c>
      <c r="L280" s="4">
        <v>2448.0299999999997</v>
      </c>
    </row>
    <row r="281" spans="1:12" ht="18.399999999999999" x14ac:dyDescent="0.45">
      <c r="A281" s="1">
        <v>1403</v>
      </c>
      <c r="B281" s="1" t="s">
        <v>291</v>
      </c>
      <c r="C281" s="2" t="s">
        <v>279</v>
      </c>
      <c r="D281" s="5">
        <v>579000</v>
      </c>
      <c r="E281" s="4">
        <v>1148.9100000000001</v>
      </c>
      <c r="F281" s="4">
        <v>2099.92</v>
      </c>
      <c r="G281" s="4">
        <v>6449.2300000000005</v>
      </c>
      <c r="H281" s="4">
        <v>8549.15</v>
      </c>
      <c r="I281" s="4">
        <v>330.19</v>
      </c>
      <c r="J281" s="4">
        <v>1013.2</v>
      </c>
      <c r="K281" s="6">
        <v>674.54</v>
      </c>
      <c r="L281" s="4">
        <v>2611.8200000000002</v>
      </c>
    </row>
    <row r="282" spans="1:12" ht="18.399999999999999" x14ac:dyDescent="0.45">
      <c r="A282" s="1">
        <v>1403</v>
      </c>
      <c r="B282" s="1" t="s">
        <v>292</v>
      </c>
      <c r="C282" s="2" t="s">
        <v>280</v>
      </c>
      <c r="D282" s="5">
        <v>589000</v>
      </c>
      <c r="E282" s="4">
        <v>1183.5</v>
      </c>
      <c r="F282" s="4">
        <v>2144.65</v>
      </c>
      <c r="G282" s="4">
        <v>6653.24</v>
      </c>
      <c r="H282" s="4">
        <v>8797.89</v>
      </c>
      <c r="I282" s="4">
        <v>332.75</v>
      </c>
      <c r="J282" s="4">
        <v>1061.8899999999999</v>
      </c>
      <c r="K282" s="6">
        <v>701.9</v>
      </c>
      <c r="L282" s="4">
        <v>2714.42</v>
      </c>
    </row>
    <row r="283" spans="1:12" ht="18.399999999999999" x14ac:dyDescent="0.45">
      <c r="A283" s="1">
        <v>1403</v>
      </c>
      <c r="B283" s="1" t="s">
        <v>293</v>
      </c>
      <c r="C283" s="2" t="s">
        <v>281</v>
      </c>
      <c r="D283" s="5">
        <v>593000</v>
      </c>
      <c r="E283" s="4">
        <v>1154.1500000000001</v>
      </c>
      <c r="F283" s="4">
        <v>2235.0500000000002</v>
      </c>
      <c r="G283" s="4">
        <v>6835.4600000000009</v>
      </c>
      <c r="H283" s="4">
        <v>9070.51</v>
      </c>
      <c r="I283" s="4">
        <v>334.23</v>
      </c>
      <c r="J283" s="4">
        <v>1121.5999999999999</v>
      </c>
      <c r="K283" s="6">
        <v>585.91000000000008</v>
      </c>
      <c r="L283" s="4">
        <v>2784.2799999999997</v>
      </c>
    </row>
    <row r="284" spans="1:12" ht="18.399999999999999" x14ac:dyDescent="0.45">
      <c r="A284" s="1">
        <v>1403</v>
      </c>
      <c r="B284" s="1" t="s">
        <v>294</v>
      </c>
      <c r="C284" s="2" t="s">
        <v>282</v>
      </c>
      <c r="D284" s="5">
        <v>650500</v>
      </c>
      <c r="E284" s="4">
        <v>1195.48</v>
      </c>
      <c r="F284" s="4">
        <v>2266.62</v>
      </c>
      <c r="G284" s="4">
        <v>6966.83</v>
      </c>
      <c r="H284" s="4">
        <v>9233.4500000000007</v>
      </c>
      <c r="I284" s="4">
        <v>400.03000000000003</v>
      </c>
      <c r="J284" s="4">
        <v>1161.56</v>
      </c>
      <c r="K284" s="6">
        <v>684.77</v>
      </c>
      <c r="L284" s="4">
        <v>2867.19</v>
      </c>
    </row>
    <row r="285" spans="1:12" ht="18.399999999999999" x14ac:dyDescent="0.45">
      <c r="A285" s="1">
        <v>1403</v>
      </c>
      <c r="B285" s="1" t="s">
        <v>295</v>
      </c>
      <c r="C285" s="2" t="s">
        <v>283</v>
      </c>
      <c r="D285" s="5">
        <v>691500</v>
      </c>
      <c r="E285" s="4">
        <v>1204.6200000000001</v>
      </c>
      <c r="F285" s="4">
        <v>2250.38</v>
      </c>
      <c r="G285" s="4">
        <v>7141.83</v>
      </c>
      <c r="H285" s="4">
        <v>9392.2100000000009</v>
      </c>
      <c r="I285" s="4">
        <v>411.68</v>
      </c>
      <c r="J285" s="4">
        <v>1214.4000000000001</v>
      </c>
      <c r="K285" s="6">
        <v>732.25</v>
      </c>
      <c r="L285" s="4">
        <v>2910.56</v>
      </c>
    </row>
    <row r="286" spans="1:12" ht="18.399999999999999" x14ac:dyDescent="0.45">
      <c r="A286" s="1">
        <v>1403</v>
      </c>
      <c r="B286" s="1" t="s">
        <v>296</v>
      </c>
      <c r="C286" s="2" t="s">
        <v>284</v>
      </c>
      <c r="D286" s="5">
        <v>770000</v>
      </c>
      <c r="E286" s="4">
        <v>1216.47</v>
      </c>
      <c r="F286" s="4">
        <v>2344.34</v>
      </c>
      <c r="G286" s="4">
        <v>7259.2699999999995</v>
      </c>
      <c r="H286" s="4">
        <f>96036.1/10</f>
        <v>9603.61</v>
      </c>
      <c r="I286" s="4">
        <v>412.73999999999995</v>
      </c>
      <c r="J286" s="4">
        <v>1208.1299999999999</v>
      </c>
      <c r="K286" s="4">
        <v>822.53</v>
      </c>
      <c r="L286" s="4">
        <v>3365.1800000000003</v>
      </c>
    </row>
    <row r="287" spans="1:12" ht="18.399999999999999" x14ac:dyDescent="0.45">
      <c r="A287" s="1">
        <v>1403</v>
      </c>
      <c r="B287" s="1" t="s">
        <v>300</v>
      </c>
      <c r="C287" s="2" t="s">
        <v>285</v>
      </c>
      <c r="D287" s="5">
        <v>810500</v>
      </c>
      <c r="E287" s="4">
        <v>1240.94</v>
      </c>
      <c r="F287" s="4">
        <v>2380.27</v>
      </c>
      <c r="G287" s="4">
        <v>7343.06</v>
      </c>
      <c r="H287" s="4">
        <f>97233.3/10</f>
        <v>9723.33</v>
      </c>
      <c r="I287" s="4">
        <v>419.93</v>
      </c>
      <c r="J287" s="4">
        <v>1198.48</v>
      </c>
      <c r="K287" s="4">
        <v>893.58999999999992</v>
      </c>
      <c r="L287" s="4">
        <v>3474.35</v>
      </c>
    </row>
    <row r="288" spans="1:12" ht="18.399999999999999" x14ac:dyDescent="0.45">
      <c r="A288" s="1">
        <v>1403</v>
      </c>
      <c r="B288" s="1" t="s">
        <v>298</v>
      </c>
      <c r="C288" s="2" t="s">
        <v>286</v>
      </c>
      <c r="D288" s="5">
        <v>919950</v>
      </c>
      <c r="E288" s="4">
        <f>12729.4/10</f>
        <v>1272.94</v>
      </c>
      <c r="F288" s="4">
        <f>25072/10</f>
        <v>2507.1999999999998</v>
      </c>
      <c r="G288" s="4">
        <f>74348.1/10</f>
        <v>7434.81</v>
      </c>
      <c r="H288" s="4">
        <f>99420.1/10</f>
        <v>9942.01</v>
      </c>
      <c r="I288" s="4">
        <v>415.48999999999995</v>
      </c>
      <c r="J288" s="4">
        <v>1252.72</v>
      </c>
      <c r="K288" s="4">
        <f>9670.2/10</f>
        <v>967.0200000000001</v>
      </c>
      <c r="L288" s="4">
        <f>35609.2/10</f>
        <v>3560.9199999999996</v>
      </c>
    </row>
    <row r="289" spans="1:12" ht="18.399999999999999" x14ac:dyDescent="0.45">
      <c r="A289" s="1">
        <v>1403</v>
      </c>
      <c r="B289" s="1" t="s">
        <v>299</v>
      </c>
      <c r="C289" s="2" t="s">
        <v>287</v>
      </c>
      <c r="D289" s="5">
        <v>977800</v>
      </c>
      <c r="E289" s="4">
        <f>13594.3/10</f>
        <v>1359.4299999999998</v>
      </c>
      <c r="F289" s="4">
        <f>26317.3/10</f>
        <v>2631.73</v>
      </c>
      <c r="G289" s="4">
        <f>75342.2/10</f>
        <v>7534.2199999999993</v>
      </c>
      <c r="H289" s="4">
        <f>101659.5/10</f>
        <v>10165.950000000001</v>
      </c>
      <c r="I289" s="4">
        <f>4824.2/10</f>
        <v>482.41999999999996</v>
      </c>
      <c r="J289" s="4">
        <f>12668.5/10</f>
        <v>1266.8499999999999</v>
      </c>
      <c r="K289" s="4">
        <f>11701.9/10</f>
        <v>1170.19</v>
      </c>
      <c r="L289" s="4">
        <f>43693.6/10</f>
        <v>4369.3599999999997</v>
      </c>
    </row>
    <row r="290" spans="1:12" ht="18.399999999999999" x14ac:dyDescent="0.45">
      <c r="A290" s="1">
        <v>1404</v>
      </c>
      <c r="B290" s="1" t="s">
        <v>288</v>
      </c>
      <c r="C290" s="2" t="str">
        <f>B290&amp;" "&amp;A290</f>
        <v>فروردین 1404</v>
      </c>
      <c r="D290" s="5">
        <v>827900</v>
      </c>
      <c r="E290" s="4">
        <f>13639.1/10</f>
        <v>1363.91</v>
      </c>
      <c r="F290" s="4">
        <f>26570.3/10</f>
        <v>2657.0299999999997</v>
      </c>
      <c r="G290" s="4">
        <f>78718.3/10</f>
        <v>7871.83</v>
      </c>
      <c r="H290" s="4">
        <f>105288.6/10</f>
        <v>10528.86</v>
      </c>
      <c r="I290" s="4">
        <f>4849.2/10</f>
        <v>484.91999999999996</v>
      </c>
      <c r="J290" s="4">
        <f>13038.5/10</f>
        <v>1303.8499999999999</v>
      </c>
      <c r="K290" s="4">
        <f>10433.6/10</f>
        <v>1043.3600000000001</v>
      </c>
      <c r="L290" s="4">
        <f>45512/10</f>
        <v>4551.2</v>
      </c>
    </row>
    <row r="291" spans="1:12" ht="18.399999999999999" x14ac:dyDescent="0.45">
      <c r="A291" s="1">
        <v>1404</v>
      </c>
      <c r="B291" s="1" t="s">
        <v>289</v>
      </c>
      <c r="C291" s="2" t="str">
        <f t="shared" ref="C291:C304" si="0">B291&amp;" "&amp;A291</f>
        <v>اردیبهشت 1404</v>
      </c>
      <c r="D291" s="5">
        <v>838000</v>
      </c>
      <c r="E291" s="4">
        <f>14251.2/10</f>
        <v>1425.1200000000001</v>
      </c>
      <c r="F291" s="4">
        <f>25819.4/10</f>
        <v>2581.94</v>
      </c>
      <c r="G291" s="4">
        <f>81573.2/10</f>
        <v>8157.32</v>
      </c>
      <c r="H291" s="4">
        <f>107392.6/10</f>
        <v>10739.26</v>
      </c>
      <c r="I291" s="4">
        <f>4765.3/10</f>
        <v>476.53000000000003</v>
      </c>
      <c r="J291" s="4">
        <f>12993.4/10</f>
        <v>1299.3399999999999</v>
      </c>
      <c r="K291" s="4">
        <f>8747.7/10</f>
        <v>874.7700000000001</v>
      </c>
      <c r="L291" s="4">
        <f>45648.9/10</f>
        <v>4564.8900000000003</v>
      </c>
    </row>
    <row r="292" spans="1:12" ht="18.399999999999999" x14ac:dyDescent="0.45">
      <c r="A292" s="1">
        <v>1404</v>
      </c>
      <c r="B292" s="1" t="s">
        <v>290</v>
      </c>
      <c r="C292" s="2" t="str">
        <f t="shared" si="0"/>
        <v>خرداد 1404</v>
      </c>
      <c r="D292" s="5">
        <v>835350</v>
      </c>
      <c r="E292" s="4">
        <f>14444.4/10</f>
        <v>1444.44</v>
      </c>
      <c r="F292" s="4">
        <f>26496.1/10</f>
        <v>2649.6099999999997</v>
      </c>
      <c r="G292" s="4">
        <f>84091.9/10</f>
        <v>8409.1899999999987</v>
      </c>
      <c r="H292" s="4">
        <f>110588/10</f>
        <v>11058.8</v>
      </c>
      <c r="I292" s="4">
        <f>5747.7/10</f>
        <v>574.77</v>
      </c>
      <c r="J292" s="4">
        <f>13130/10</f>
        <v>1313</v>
      </c>
      <c r="K292" s="4">
        <f>7314.6/10</f>
        <v>731.46</v>
      </c>
      <c r="L292" s="4">
        <f>46530.2/10</f>
        <v>4653.0199999999995</v>
      </c>
    </row>
    <row r="293" spans="1:12" ht="18.399999999999999" x14ac:dyDescent="0.45">
      <c r="A293" s="1">
        <v>1404</v>
      </c>
      <c r="B293" s="1" t="s">
        <v>291</v>
      </c>
      <c r="C293" s="2" t="str">
        <f t="shared" si="0"/>
        <v>تیر 1404</v>
      </c>
      <c r="D293" s="5">
        <v>881100</v>
      </c>
      <c r="E293" s="4">
        <f>15144.8/10</f>
        <v>1514.48</v>
      </c>
      <c r="F293" s="4">
        <f>27703.9/10</f>
        <v>2770.3900000000003</v>
      </c>
      <c r="G293" s="4">
        <f>88079.4/10</f>
        <v>8807.9399999999987</v>
      </c>
      <c r="H293" s="4">
        <f>115783.3/10</f>
        <v>11578.33</v>
      </c>
      <c r="I293" s="4">
        <f>5771.9/10</f>
        <v>577.18999999999994</v>
      </c>
      <c r="J293" s="4">
        <f>14530.6/10</f>
        <v>1453.06</v>
      </c>
      <c r="K293" s="4">
        <f>7865.5/10</f>
        <v>786.55</v>
      </c>
      <c r="L293" s="4">
        <f>46920.5/10</f>
        <v>4692.05</v>
      </c>
    </row>
    <row r="294" spans="1:12" ht="18.399999999999999" x14ac:dyDescent="0.45">
      <c r="A294" s="1">
        <v>1404</v>
      </c>
      <c r="B294" s="1" t="s">
        <v>292</v>
      </c>
      <c r="C294" s="2" t="str">
        <f t="shared" si="0"/>
        <v>مرداد 1404</v>
      </c>
      <c r="D294" s="5">
        <v>950600</v>
      </c>
      <c r="E294" s="4">
        <f>15566.5/10</f>
        <v>1556.65</v>
      </c>
      <c r="F294" s="4">
        <f>28693.5/10</f>
        <v>2869.35</v>
      </c>
      <c r="G294" s="4">
        <f>91455.8/10</f>
        <v>9145.58</v>
      </c>
      <c r="H294" s="4">
        <f>120149.3/10</f>
        <v>12014.93</v>
      </c>
      <c r="I294" s="4">
        <f>6603.8/10</f>
        <v>660.38</v>
      </c>
      <c r="J294" s="4">
        <f>15820.8/10</f>
        <v>1582.08</v>
      </c>
      <c r="K294" s="4">
        <f>8759.4/10</f>
        <v>875.93999999999994</v>
      </c>
      <c r="L294" s="4">
        <f>47267/10</f>
        <v>4726.7</v>
      </c>
    </row>
    <row r="295" spans="1:12" ht="18.399999999999999" x14ac:dyDescent="0.45">
      <c r="A295" s="1">
        <v>1404</v>
      </c>
      <c r="B295" s="1" t="s">
        <v>293</v>
      </c>
      <c r="C295" s="2" t="str">
        <f t="shared" si="0"/>
        <v>شهریور 1404</v>
      </c>
      <c r="D295" s="5">
        <v>1040000</v>
      </c>
      <c r="E295" s="4">
        <f>16123.9/10</f>
        <v>1612.3899999999999</v>
      </c>
      <c r="F295" s="4">
        <f>30302.9/10</f>
        <v>3030.29</v>
      </c>
      <c r="G295" s="4">
        <f>93784.4/10</f>
        <v>9378.4399999999987</v>
      </c>
      <c r="H295" s="4">
        <f>124087.3/10</f>
        <v>12408.73</v>
      </c>
      <c r="I295" s="4">
        <f>6765.1/10</f>
        <v>676.51</v>
      </c>
      <c r="J295" s="4">
        <f>16004.8/10</f>
        <v>1600.48</v>
      </c>
      <c r="K295" s="4">
        <f>9378.2/10</f>
        <v>937.82</v>
      </c>
      <c r="L295" s="4">
        <f>47446.4/10</f>
        <v>4744.6400000000003</v>
      </c>
    </row>
    <row r="296" spans="1:12" ht="18.399999999999999" x14ac:dyDescent="0.45">
      <c r="A296" s="1">
        <v>1404</v>
      </c>
      <c r="B296" s="1" t="s">
        <v>294</v>
      </c>
      <c r="C296" s="1" t="str">
        <f t="shared" si="0"/>
        <v>مهر 1404</v>
      </c>
      <c r="D296" s="5">
        <v>1075600</v>
      </c>
      <c r="E296" s="4">
        <f>17308.5/10</f>
        <v>1730.85</v>
      </c>
      <c r="F296" s="4">
        <f>30537.4/10</f>
        <v>3053.7400000000002</v>
      </c>
      <c r="G296" s="4">
        <f>97471.7/10</f>
        <v>9747.17</v>
      </c>
      <c r="H296" s="4">
        <f>128009.1/10</f>
        <v>12800.91</v>
      </c>
      <c r="I296" s="4">
        <f>6766.8/10</f>
        <v>676.68000000000006</v>
      </c>
      <c r="J296" s="4">
        <f>16245.3/10</f>
        <v>1624.53</v>
      </c>
      <c r="K296" s="4">
        <f>10909/10</f>
        <v>1090.9000000000001</v>
      </c>
      <c r="L296" s="4">
        <f>47915.8/10</f>
        <v>4791.58</v>
      </c>
    </row>
    <row r="297" spans="1:12" ht="18.399999999999999" x14ac:dyDescent="0.45">
      <c r="A297" s="1">
        <v>1404</v>
      </c>
      <c r="B297" s="1" t="s">
        <v>295</v>
      </c>
      <c r="C297" s="1" t="str">
        <f t="shared" si="0"/>
        <v>آبان 1404</v>
      </c>
      <c r="D297" s="5">
        <v>1135200</v>
      </c>
      <c r="E297" s="4">
        <f>17765.8/10</f>
        <v>1776.58</v>
      </c>
      <c r="F297" s="4">
        <f>31878.8/10</f>
        <v>3187.88</v>
      </c>
      <c r="G297" s="4">
        <f>99966.5/10</f>
        <v>9996.65</v>
      </c>
      <c r="H297" s="4">
        <f>131845.3/10</f>
        <v>13184.529999999999</v>
      </c>
      <c r="I297" s="4">
        <f>7773.1/10</f>
        <v>777.31000000000006</v>
      </c>
      <c r="J297" s="4">
        <f>16281.9/10</f>
        <v>1628.19</v>
      </c>
      <c r="K297" s="4">
        <f>11929.8/10</f>
        <v>1192.98</v>
      </c>
      <c r="L297" s="4">
        <f>47768.1/10</f>
        <v>4776.8099999999995</v>
      </c>
    </row>
    <row r="298" spans="1:12" ht="18.399999999999999" x14ac:dyDescent="0.45">
      <c r="A298" s="1">
        <v>1404</v>
      </c>
      <c r="B298" s="1" t="s">
        <v>296</v>
      </c>
      <c r="C298" s="1" t="str">
        <f t="shared" si="0"/>
        <v>آذر 1404</v>
      </c>
      <c r="D298" s="5">
        <v>1312250</v>
      </c>
      <c r="E298" s="4">
        <f>18258.3/10</f>
        <v>1825.83</v>
      </c>
      <c r="F298" s="4">
        <f>33854.3/10</f>
        <v>3385.4300000000003</v>
      </c>
      <c r="G298" s="4">
        <f>101490.3/10</f>
        <v>10149.030000000001</v>
      </c>
      <c r="H298" s="4">
        <f>135344.6/10</f>
        <v>13534.460000000001</v>
      </c>
      <c r="I298" s="4">
        <f>7738.3/10</f>
        <v>773.83</v>
      </c>
      <c r="J298" s="4">
        <f>16695.6/10</f>
        <v>1669.56</v>
      </c>
      <c r="K298" s="4">
        <f>12645/10</f>
        <v>1264.5</v>
      </c>
      <c r="L298" s="4">
        <f>50401.7/10</f>
        <v>5040.17</v>
      </c>
    </row>
    <row r="299" spans="1:12" ht="18.399999999999999" x14ac:dyDescent="0.45">
      <c r="A299" s="1">
        <v>1404</v>
      </c>
      <c r="B299" s="1" t="s">
        <v>297</v>
      </c>
      <c r="C299" s="1" t="str">
        <f t="shared" si="0"/>
        <v>دی 1404</v>
      </c>
      <c r="D299" s="5">
        <v>1455400</v>
      </c>
      <c r="E299" s="4">
        <f>18829.4/10</f>
        <v>1882.94</v>
      </c>
      <c r="F299" s="4">
        <f>36275.1/10</f>
        <v>3627.5099999999998</v>
      </c>
      <c r="G299" s="4">
        <f>105214.9/10</f>
        <v>10521.49</v>
      </c>
      <c r="H299" s="4">
        <f>141490/10</f>
        <v>14149</v>
      </c>
      <c r="I299" s="4">
        <f>7959.6/10</f>
        <v>795.96</v>
      </c>
      <c r="J299" s="4">
        <f>17098.7/10</f>
        <v>1709.8700000000001</v>
      </c>
      <c r="K299" s="4">
        <f>8693.4/10</f>
        <v>869.33999999999992</v>
      </c>
      <c r="L299" s="4">
        <f>67539.2/10</f>
        <v>6753.92</v>
      </c>
    </row>
    <row r="300" spans="1:12" ht="18.399999999999999" x14ac:dyDescent="0.45">
      <c r="A300" s="1">
        <v>1404</v>
      </c>
      <c r="B300" s="1" t="s">
        <v>298</v>
      </c>
      <c r="C300" s="1" t="str">
        <f t="shared" si="0"/>
        <v>بهمن 1404</v>
      </c>
      <c r="D300" s="5">
        <v>1635000</v>
      </c>
      <c r="E300" s="4">
        <f>19692.7/10</f>
        <v>1969.27</v>
      </c>
      <c r="F300" s="4">
        <f>38020.9/10</f>
        <v>3802.09</v>
      </c>
      <c r="G300" s="4">
        <f>108379.4/10</f>
        <v>10837.939999999999</v>
      </c>
      <c r="H300" s="4">
        <f>146400.3/10</f>
        <v>14640.029999999999</v>
      </c>
      <c r="I300" s="4">
        <f>7558.9/10</f>
        <v>755.89</v>
      </c>
      <c r="J300" s="4">
        <f>17785.5/10</f>
        <v>1778.55</v>
      </c>
      <c r="K300" s="4">
        <f>8757.9/10</f>
        <v>875.79</v>
      </c>
      <c r="L300" s="4">
        <f>72266.3/10</f>
        <v>7226.63</v>
      </c>
    </row>
    <row r="301" spans="1:12" ht="18.399999999999999" x14ac:dyDescent="0.45">
      <c r="A301" s="1">
        <v>1404</v>
      </c>
      <c r="B301" s="1" t="s">
        <v>299</v>
      </c>
      <c r="C301" s="1" t="str">
        <f t="shared" si="0"/>
        <v>اسفند 1404</v>
      </c>
      <c r="D301" s="5">
        <v>1534810</v>
      </c>
      <c r="H301" s="52">
        <f>H289*(1+0.47)</f>
        <v>14943.9465</v>
      </c>
    </row>
    <row r="302" spans="1:12" ht="18.399999999999999" x14ac:dyDescent="0.45">
      <c r="A302" s="1">
        <v>1405</v>
      </c>
      <c r="B302" s="1" t="s">
        <v>288</v>
      </c>
      <c r="C302" s="1" t="str">
        <f t="shared" si="0"/>
        <v>فروردین 1405</v>
      </c>
      <c r="D302" s="5">
        <v>1525000</v>
      </c>
      <c r="H302" s="52">
        <f>H290*(1+0.55)</f>
        <v>16319.733000000002</v>
      </c>
    </row>
    <row r="303" spans="1:12" ht="18.399999999999999" x14ac:dyDescent="0.45">
      <c r="A303" s="1">
        <v>1405</v>
      </c>
      <c r="B303" s="1" t="s">
        <v>289</v>
      </c>
      <c r="C303" s="1" t="str">
        <f t="shared" si="0"/>
        <v>اردیبهشت 1405</v>
      </c>
      <c r="D303" s="5">
        <v>1793000</v>
      </c>
      <c r="H303" s="52">
        <f>H291*(1+0.6)</f>
        <v>17182.816000000003</v>
      </c>
    </row>
    <row r="304" spans="1:12" ht="18.399999999999999" x14ac:dyDescent="0.45">
      <c r="A304" s="1">
        <v>1405</v>
      </c>
      <c r="B304" s="1" t="s">
        <v>290</v>
      </c>
      <c r="C304" s="1" t="str">
        <f t="shared" si="0"/>
        <v>خرداد 1405</v>
      </c>
      <c r="D304" s="13">
        <v>1570000</v>
      </c>
      <c r="H304" s="52">
        <f>H292*(1+0.65)</f>
        <v>18247.019999999997</v>
      </c>
    </row>
    <row r="305" spans="2:2" ht="18.399999999999999" x14ac:dyDescent="0.45">
      <c r="B305" s="1"/>
    </row>
    <row r="306" spans="2:2" ht="18.399999999999999" x14ac:dyDescent="0.45">
      <c r="B306" s="1"/>
    </row>
    <row r="307" spans="2:2" ht="18.399999999999999" x14ac:dyDescent="0.45">
      <c r="B307" s="1"/>
    </row>
    <row r="308" spans="2:2" ht="18.399999999999999" x14ac:dyDescent="0.45">
      <c r="B308" s="1"/>
    </row>
    <row r="309" spans="2:2" ht="18.399999999999999" x14ac:dyDescent="0.45">
      <c r="B309" s="1"/>
    </row>
    <row r="310" spans="2:2" ht="18.399999999999999" x14ac:dyDescent="0.45">
      <c r="B310" s="1"/>
    </row>
    <row r="311" spans="2:2" ht="18.399999999999999" x14ac:dyDescent="0.45">
      <c r="B311" s="1"/>
    </row>
    <row r="312" spans="2:2" ht="18.399999999999999" x14ac:dyDescent="0.45">
      <c r="B312" s="1"/>
    </row>
    <row r="313" spans="2:2" ht="18.399999999999999" x14ac:dyDescent="0.45">
      <c r="B31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DAD24-F870-486D-976E-D2E50C596641}">
  <dimension ref="A1:U323"/>
  <sheetViews>
    <sheetView rightToLeft="1" zoomScaleNormal="100" workbookViewId="0">
      <pane xSplit="3" ySplit="1" topLeftCell="D291" activePane="bottomRight" state="frozen"/>
      <selection pane="topRight" activeCell="D1" sqref="D1"/>
      <selection pane="bottomLeft" activeCell="A3" sqref="A3"/>
      <selection pane="bottomRight" activeCell="D304" sqref="D304"/>
    </sheetView>
  </sheetViews>
  <sheetFormatPr defaultRowHeight="14.25" x14ac:dyDescent="0.45"/>
  <cols>
    <col min="1" max="2" width="9.46484375" customWidth="1"/>
    <col min="3" max="3" width="12.46484375" bestFit="1" customWidth="1"/>
    <col min="4" max="4" width="12.53125" customWidth="1"/>
    <col min="5" max="5" width="19.86328125" customWidth="1"/>
    <col min="6" max="6" width="9.86328125" customWidth="1"/>
    <col min="7" max="7" width="11.86328125" customWidth="1"/>
    <col min="8" max="8" width="13.46484375" customWidth="1"/>
    <col min="9" max="9" width="12.53125" customWidth="1"/>
    <col min="10" max="10" width="11.1328125" customWidth="1"/>
    <col min="11" max="11" width="13.6640625" customWidth="1"/>
    <col min="12" max="12" width="14.796875" customWidth="1"/>
    <col min="13" max="15" width="16.86328125" customWidth="1"/>
    <col min="16" max="18" width="17.33203125" customWidth="1"/>
    <col min="19" max="19" width="12.59765625" bestFit="1" customWidth="1"/>
    <col min="21" max="21" width="12.796875" bestFit="1" customWidth="1"/>
  </cols>
  <sheetData>
    <row r="1" spans="1:21" ht="40.9" thickBot="1" x14ac:dyDescent="0.5">
      <c r="A1" s="37" t="s">
        <v>349</v>
      </c>
      <c r="B1" s="37" t="s">
        <v>350</v>
      </c>
      <c r="C1" s="37" t="s">
        <v>351</v>
      </c>
      <c r="D1" s="8" t="s">
        <v>333</v>
      </c>
      <c r="E1" s="8" t="s">
        <v>342</v>
      </c>
      <c r="F1" s="19" t="s">
        <v>302</v>
      </c>
      <c r="G1" s="41" t="s">
        <v>322</v>
      </c>
      <c r="H1" s="41" t="s">
        <v>323</v>
      </c>
      <c r="I1" s="41" t="s">
        <v>324</v>
      </c>
      <c r="J1" s="42" t="s">
        <v>325</v>
      </c>
      <c r="K1" s="42" t="s">
        <v>326</v>
      </c>
      <c r="L1" s="41" t="s">
        <v>343</v>
      </c>
      <c r="M1" s="41" t="s">
        <v>344</v>
      </c>
      <c r="N1" s="41" t="s">
        <v>345</v>
      </c>
      <c r="O1" s="41" t="s">
        <v>346</v>
      </c>
      <c r="P1" s="41" t="s">
        <v>347</v>
      </c>
      <c r="Q1" s="41" t="s">
        <v>348</v>
      </c>
      <c r="R1" s="43" t="s">
        <v>352</v>
      </c>
      <c r="S1" s="43" t="s">
        <v>332</v>
      </c>
      <c r="T1" s="44" t="s">
        <v>303</v>
      </c>
      <c r="U1" s="44" t="s">
        <v>304</v>
      </c>
    </row>
    <row r="2" spans="1:21" ht="18.399999999999999" x14ac:dyDescent="0.45">
      <c r="A2" s="1">
        <v>1380</v>
      </c>
      <c r="B2" s="1" t="s">
        <v>288</v>
      </c>
      <c r="C2" s="2" t="s">
        <v>0</v>
      </c>
      <c r="D2" s="9"/>
      <c r="G2" s="24">
        <v>3082.77</v>
      </c>
      <c r="H2" s="24"/>
      <c r="I2" s="24"/>
      <c r="L2" s="6">
        <v>6.5318500000000004</v>
      </c>
      <c r="M2" s="6">
        <v>2.41E-2</v>
      </c>
      <c r="N2" s="6"/>
      <c r="O2" s="24"/>
      <c r="P2" s="24"/>
      <c r="Q2" s="35"/>
      <c r="R2" s="35"/>
      <c r="S2" t="s">
        <v>301</v>
      </c>
    </row>
    <row r="3" spans="1:21" ht="18.399999999999999" x14ac:dyDescent="0.45">
      <c r="A3" s="1">
        <v>1380</v>
      </c>
      <c r="B3" s="1" t="s">
        <v>289</v>
      </c>
      <c r="C3" s="2" t="s">
        <v>1</v>
      </c>
      <c r="D3" s="9"/>
      <c r="G3" s="25">
        <v>3309.82</v>
      </c>
      <c r="H3" s="25"/>
      <c r="I3" s="25"/>
      <c r="L3" s="6">
        <v>7.0637500000000006</v>
      </c>
      <c r="M3" s="6">
        <v>7.2599999999999998E-2</v>
      </c>
      <c r="N3" s="6"/>
      <c r="O3" s="25"/>
      <c r="P3" s="25"/>
      <c r="Q3" s="4"/>
      <c r="R3" s="4"/>
      <c r="S3" t="s">
        <v>301</v>
      </c>
    </row>
    <row r="4" spans="1:21" ht="18.399999999999999" x14ac:dyDescent="0.45">
      <c r="A4" s="1">
        <v>1380</v>
      </c>
      <c r="B4" s="1" t="s">
        <v>290</v>
      </c>
      <c r="C4" s="2" t="s">
        <v>2</v>
      </c>
      <c r="D4" s="9"/>
      <c r="G4" s="25">
        <v>3387.72</v>
      </c>
      <c r="H4" s="25"/>
      <c r="I4" s="25"/>
      <c r="L4" s="6">
        <v>7.2299999999999995</v>
      </c>
      <c r="M4" s="6">
        <v>4.7799999999999995E-2</v>
      </c>
      <c r="N4" s="6"/>
      <c r="O4" s="25"/>
      <c r="P4" s="25"/>
      <c r="Q4" s="4"/>
      <c r="R4" s="4"/>
      <c r="S4" t="s">
        <v>301</v>
      </c>
    </row>
    <row r="5" spans="1:21" ht="18.399999999999999" x14ac:dyDescent="0.45">
      <c r="A5" s="1">
        <v>1380</v>
      </c>
      <c r="B5" s="1" t="s">
        <v>291</v>
      </c>
      <c r="C5" s="2" t="s">
        <v>3</v>
      </c>
      <c r="D5" s="9"/>
      <c r="G5" s="25">
        <v>3393.9</v>
      </c>
      <c r="H5" s="25"/>
      <c r="I5" s="25"/>
      <c r="L5" s="6">
        <v>7.25</v>
      </c>
      <c r="M5" s="6">
        <v>8.4199999999999997E-2</v>
      </c>
      <c r="N5" s="6"/>
      <c r="O5" s="25"/>
      <c r="P5" s="25"/>
      <c r="Q5" s="4"/>
      <c r="R5" s="4"/>
      <c r="S5" t="s">
        <v>301</v>
      </c>
    </row>
    <row r="6" spans="1:21" ht="18.399999999999999" x14ac:dyDescent="0.45">
      <c r="A6" s="1">
        <v>1380</v>
      </c>
      <c r="B6" s="1" t="s">
        <v>292</v>
      </c>
      <c r="C6" s="2" t="s">
        <v>4</v>
      </c>
      <c r="D6" s="9"/>
      <c r="G6" s="25">
        <v>3464.24</v>
      </c>
      <c r="H6" s="25"/>
      <c r="I6" s="25"/>
      <c r="L6" s="6">
        <v>7.42</v>
      </c>
      <c r="M6" s="6">
        <v>5.9799999999999999E-2</v>
      </c>
      <c r="N6" s="6"/>
      <c r="O6" s="25"/>
      <c r="P6" s="25"/>
      <c r="Q6" s="4"/>
      <c r="R6" s="4"/>
      <c r="S6" t="s">
        <v>301</v>
      </c>
    </row>
    <row r="7" spans="1:21" ht="18.399999999999999" x14ac:dyDescent="0.45">
      <c r="A7" s="1">
        <v>1380</v>
      </c>
      <c r="B7" s="1" t="s">
        <v>293</v>
      </c>
      <c r="C7" s="2" t="s">
        <v>5</v>
      </c>
      <c r="D7" s="9"/>
      <c r="G7" s="25">
        <v>3347.72</v>
      </c>
      <c r="H7" s="25"/>
      <c r="I7" s="25"/>
      <c r="L7" s="6">
        <v>7.19</v>
      </c>
      <c r="M7" s="6">
        <v>8.5699999999999998E-2</v>
      </c>
      <c r="N7" s="6"/>
      <c r="O7" s="25"/>
      <c r="P7" s="25"/>
      <c r="Q7" s="4"/>
      <c r="R7" s="4"/>
      <c r="S7" t="s">
        <v>301</v>
      </c>
    </row>
    <row r="8" spans="1:21" ht="18.399999999999999" x14ac:dyDescent="0.45">
      <c r="A8" s="1">
        <v>1380</v>
      </c>
      <c r="B8" s="1" t="s">
        <v>294</v>
      </c>
      <c r="C8" s="2" t="s">
        <v>6</v>
      </c>
      <c r="D8" s="9"/>
      <c r="G8" s="25">
        <v>3340.17</v>
      </c>
      <c r="H8" s="25"/>
      <c r="I8" s="25"/>
      <c r="L8" s="6">
        <v>7.1836000000000002</v>
      </c>
      <c r="M8" s="6">
        <v>5.3100000000000001E-2</v>
      </c>
      <c r="N8" s="6"/>
      <c r="O8" s="25"/>
      <c r="P8" s="25"/>
      <c r="Q8" s="4"/>
      <c r="R8" s="4"/>
      <c r="S8" t="s">
        <v>301</v>
      </c>
    </row>
    <row r="9" spans="1:21" ht="18.399999999999999" x14ac:dyDescent="0.45">
      <c r="A9" s="1">
        <v>1380</v>
      </c>
      <c r="B9" s="1" t="s">
        <v>295</v>
      </c>
      <c r="C9" s="2" t="s">
        <v>7</v>
      </c>
      <c r="D9" s="9"/>
      <c r="G9" s="25">
        <v>3423.03</v>
      </c>
      <c r="H9" s="25"/>
      <c r="I9" s="25"/>
      <c r="L9" s="6">
        <v>7.3880999999999997</v>
      </c>
      <c r="M9" s="6">
        <v>5.6999999999999995E-2</v>
      </c>
      <c r="N9" s="6"/>
      <c r="O9" s="25"/>
      <c r="P9" s="25"/>
      <c r="Q9" s="4"/>
      <c r="R9" s="4"/>
      <c r="S9" t="s">
        <v>301</v>
      </c>
    </row>
    <row r="10" spans="1:21" ht="18.399999999999999" x14ac:dyDescent="0.45">
      <c r="A10" s="1">
        <v>1380</v>
      </c>
      <c r="B10" s="1" t="s">
        <v>296</v>
      </c>
      <c r="C10" s="2" t="s">
        <v>8</v>
      </c>
      <c r="D10" s="9"/>
      <c r="G10" s="25">
        <v>3538.71</v>
      </c>
      <c r="H10" s="25"/>
      <c r="I10" s="25"/>
      <c r="L10" s="6">
        <v>7.6472999999999995</v>
      </c>
      <c r="M10" s="6">
        <v>7.2300000000000003E-2</v>
      </c>
      <c r="N10" s="6"/>
      <c r="O10" s="25"/>
      <c r="P10" s="25"/>
      <c r="Q10" s="4"/>
      <c r="R10" s="4"/>
      <c r="S10" t="s">
        <v>301</v>
      </c>
    </row>
    <row r="11" spans="1:21" ht="18.399999999999999" x14ac:dyDescent="0.45">
      <c r="A11" s="1">
        <v>1380</v>
      </c>
      <c r="B11" s="1" t="s">
        <v>297</v>
      </c>
      <c r="C11" s="2" t="s">
        <v>9</v>
      </c>
      <c r="D11" s="9"/>
      <c r="G11" s="25">
        <v>3659.65</v>
      </c>
      <c r="H11" s="25"/>
      <c r="I11" s="25"/>
      <c r="L11" s="6">
        <v>7.9135999999999997</v>
      </c>
      <c r="M11" s="6">
        <v>6.4100000000000004E-2</v>
      </c>
      <c r="N11" s="6"/>
      <c r="O11" s="25"/>
      <c r="P11" s="25"/>
      <c r="Q11" s="4"/>
      <c r="R11" s="4"/>
      <c r="S11" t="s">
        <v>301</v>
      </c>
    </row>
    <row r="12" spans="1:21" ht="18.399999999999999" x14ac:dyDescent="0.45">
      <c r="A12" s="1">
        <v>1380</v>
      </c>
      <c r="B12" s="1" t="s">
        <v>298</v>
      </c>
      <c r="C12" s="2" t="s">
        <v>10</v>
      </c>
      <c r="D12" s="9"/>
      <c r="G12" s="25">
        <v>3678.38</v>
      </c>
      <c r="H12" s="25"/>
      <c r="I12" s="25"/>
      <c r="L12" s="6">
        <v>7.9641000000000002</v>
      </c>
      <c r="M12" s="6">
        <v>6.1800000000000001E-2</v>
      </c>
      <c r="N12" s="6"/>
      <c r="O12" s="25"/>
      <c r="P12" s="25"/>
      <c r="Q12" s="4"/>
      <c r="R12" s="4"/>
      <c r="S12" t="s">
        <v>301</v>
      </c>
    </row>
    <row r="13" spans="1:21" ht="18.399999999999999" x14ac:dyDescent="0.45">
      <c r="A13" s="1">
        <v>1380</v>
      </c>
      <c r="B13" s="1" t="s">
        <v>299</v>
      </c>
      <c r="C13" s="2" t="s">
        <v>11</v>
      </c>
      <c r="D13" s="9"/>
      <c r="G13" s="25">
        <v>3758.77</v>
      </c>
      <c r="H13" s="25"/>
      <c r="I13" s="25"/>
      <c r="L13" s="6">
        <v>8.168099999999999</v>
      </c>
      <c r="M13" s="6">
        <v>0.10029999999999999</v>
      </c>
      <c r="N13" s="6"/>
      <c r="O13" s="25"/>
      <c r="P13" s="25"/>
      <c r="Q13" s="4"/>
      <c r="R13" s="4"/>
      <c r="S13" t="s">
        <v>301</v>
      </c>
    </row>
    <row r="14" spans="1:21" ht="18.399999999999999" x14ac:dyDescent="0.45">
      <c r="A14" s="1">
        <v>1381</v>
      </c>
      <c r="B14" s="1" t="s">
        <v>288</v>
      </c>
      <c r="C14" s="2" t="s">
        <v>12</v>
      </c>
      <c r="D14" s="10">
        <v>7990</v>
      </c>
      <c r="G14" s="25">
        <v>3965.94</v>
      </c>
      <c r="H14" s="25"/>
      <c r="I14" s="25"/>
      <c r="L14" s="6">
        <v>8.6265000000000001</v>
      </c>
      <c r="M14" s="6">
        <v>6.4200000000000007E-2</v>
      </c>
      <c r="N14" s="6"/>
      <c r="O14" s="25"/>
      <c r="P14" s="25"/>
      <c r="Q14" s="4"/>
      <c r="R14" s="4"/>
      <c r="S14" t="s">
        <v>301</v>
      </c>
    </row>
    <row r="15" spans="1:21" ht="18.399999999999999" x14ac:dyDescent="0.45">
      <c r="A15" s="1">
        <v>1381</v>
      </c>
      <c r="B15" s="1" t="s">
        <v>289</v>
      </c>
      <c r="C15" s="2" t="s">
        <v>13</v>
      </c>
      <c r="D15" s="10">
        <v>7991</v>
      </c>
      <c r="G15" s="25">
        <v>4151.3</v>
      </c>
      <c r="H15" s="25"/>
      <c r="I15" s="25"/>
      <c r="L15" s="6">
        <v>9.0444999999999993</v>
      </c>
      <c r="M15" s="6">
        <v>0.1784</v>
      </c>
      <c r="N15" s="6"/>
      <c r="O15" s="25"/>
      <c r="P15" s="25"/>
      <c r="Q15" s="4"/>
      <c r="R15" s="4"/>
      <c r="S15" t="s">
        <v>301</v>
      </c>
    </row>
    <row r="16" spans="1:21" ht="18.399999999999999" x14ac:dyDescent="0.45">
      <c r="A16" s="1">
        <v>1381</v>
      </c>
      <c r="B16" s="1" t="s">
        <v>290</v>
      </c>
      <c r="C16" s="2" t="s">
        <v>14</v>
      </c>
      <c r="D16" s="10">
        <v>8002</v>
      </c>
      <c r="G16" s="25">
        <v>4294.0600000000004</v>
      </c>
      <c r="H16" s="25"/>
      <c r="I16" s="25"/>
      <c r="L16" s="6">
        <v>9.378400000000001</v>
      </c>
      <c r="M16" s="6">
        <v>0.1186</v>
      </c>
      <c r="N16" s="6"/>
      <c r="O16" s="25"/>
      <c r="P16" s="25"/>
      <c r="Q16" s="4"/>
      <c r="R16" s="4"/>
      <c r="S16" t="s">
        <v>301</v>
      </c>
    </row>
    <row r="17" spans="1:19" ht="18.399999999999999" x14ac:dyDescent="0.45">
      <c r="A17" s="1">
        <v>1381</v>
      </c>
      <c r="B17" s="1" t="s">
        <v>291</v>
      </c>
      <c r="C17" s="2" t="s">
        <v>15</v>
      </c>
      <c r="D17" s="10">
        <v>7997.52</v>
      </c>
      <c r="G17" s="25">
        <v>4577.25</v>
      </c>
      <c r="H17" s="25"/>
      <c r="I17" s="25"/>
      <c r="L17" s="6">
        <v>10.049200000000001</v>
      </c>
      <c r="M17" s="6">
        <v>0.20659999999999998</v>
      </c>
      <c r="N17" s="6"/>
      <c r="O17" s="25"/>
      <c r="P17" s="25"/>
      <c r="Q17" s="4"/>
      <c r="R17" s="4"/>
      <c r="S17" t="s">
        <v>301</v>
      </c>
    </row>
    <row r="18" spans="1:19" ht="18.399999999999999" x14ac:dyDescent="0.45">
      <c r="A18" s="1">
        <v>1381</v>
      </c>
      <c r="B18" s="1" t="s">
        <v>292</v>
      </c>
      <c r="C18" s="2" t="s">
        <v>16</v>
      </c>
      <c r="D18" s="10">
        <v>7999.88</v>
      </c>
      <c r="G18" s="25">
        <v>4722.68</v>
      </c>
      <c r="H18" s="25"/>
      <c r="I18" s="25"/>
      <c r="L18" s="6">
        <v>10.388999999999999</v>
      </c>
      <c r="M18" s="6">
        <v>0.23900000000000002</v>
      </c>
      <c r="N18" s="6"/>
      <c r="O18" s="25"/>
      <c r="P18" s="25"/>
      <c r="Q18" s="4"/>
      <c r="R18" s="4"/>
      <c r="S18" t="s">
        <v>301</v>
      </c>
    </row>
    <row r="19" spans="1:19" ht="18.399999999999999" x14ac:dyDescent="0.45">
      <c r="A19" s="1">
        <v>1381</v>
      </c>
      <c r="B19" s="1" t="s">
        <v>293</v>
      </c>
      <c r="C19" s="2" t="s">
        <v>17</v>
      </c>
      <c r="D19" s="10">
        <v>8015.38</v>
      </c>
      <c r="G19" s="25">
        <v>4756.68</v>
      </c>
      <c r="H19" s="25"/>
      <c r="I19" s="25"/>
      <c r="L19" s="6">
        <v>10.471</v>
      </c>
      <c r="M19" s="6">
        <v>0.20350000000000001</v>
      </c>
      <c r="N19" s="6"/>
      <c r="O19" s="25"/>
      <c r="P19" s="25"/>
      <c r="Q19" s="4"/>
      <c r="R19" s="4"/>
      <c r="S19" t="s">
        <v>301</v>
      </c>
    </row>
    <row r="20" spans="1:19" ht="18.399999999999999" x14ac:dyDescent="0.45">
      <c r="A20" s="1">
        <v>1381</v>
      </c>
      <c r="B20" s="1" t="s">
        <v>294</v>
      </c>
      <c r="C20" s="2" t="s">
        <v>18</v>
      </c>
      <c r="D20" s="10">
        <v>8013.29</v>
      </c>
      <c r="G20" s="25">
        <v>4548.93</v>
      </c>
      <c r="H20" s="25"/>
      <c r="I20" s="25"/>
      <c r="L20" s="6">
        <v>10.0411</v>
      </c>
      <c r="M20" s="6">
        <v>8.1200000000000008E-2</v>
      </c>
      <c r="N20" s="6"/>
      <c r="O20" s="25"/>
      <c r="P20" s="25"/>
      <c r="Q20" s="4"/>
      <c r="R20" s="4"/>
      <c r="S20" t="s">
        <v>301</v>
      </c>
    </row>
    <row r="21" spans="1:19" ht="18.399999999999999" x14ac:dyDescent="0.45">
      <c r="A21" s="1">
        <v>1381</v>
      </c>
      <c r="B21" s="1" t="s">
        <v>295</v>
      </c>
      <c r="C21" s="2" t="s">
        <v>19</v>
      </c>
      <c r="D21" s="10">
        <v>8021.23</v>
      </c>
      <c r="G21" s="25">
        <v>4914.8900000000003</v>
      </c>
      <c r="H21" s="25"/>
      <c r="I21" s="25"/>
      <c r="L21" s="6">
        <v>11.104800000000001</v>
      </c>
      <c r="M21" s="6">
        <v>0.1452</v>
      </c>
      <c r="N21" s="6"/>
      <c r="O21" s="25"/>
      <c r="P21" s="25"/>
      <c r="Q21" s="4"/>
      <c r="R21" s="4"/>
      <c r="S21" t="s">
        <v>301</v>
      </c>
    </row>
    <row r="22" spans="1:19" ht="18.399999999999999" x14ac:dyDescent="0.45">
      <c r="A22" s="1">
        <v>1381</v>
      </c>
      <c r="B22" s="1" t="s">
        <v>296</v>
      </c>
      <c r="C22" s="2" t="s">
        <v>20</v>
      </c>
      <c r="D22" s="10">
        <v>8025.5</v>
      </c>
      <c r="G22" s="25">
        <v>5096.97</v>
      </c>
      <c r="H22" s="25"/>
      <c r="I22" s="25"/>
      <c r="L22" s="6">
        <v>11.557399999999999</v>
      </c>
      <c r="M22" s="6">
        <v>0.21729999999999999</v>
      </c>
      <c r="N22" s="6"/>
      <c r="O22" s="25"/>
      <c r="P22" s="25"/>
      <c r="Q22" s="4"/>
      <c r="R22" s="4"/>
      <c r="S22" t="s">
        <v>301</v>
      </c>
    </row>
    <row r="23" spans="1:19" ht="18.399999999999999" x14ac:dyDescent="0.45">
      <c r="A23" s="1">
        <v>1381</v>
      </c>
      <c r="B23" s="1" t="s">
        <v>297</v>
      </c>
      <c r="C23" s="2" t="s">
        <v>21</v>
      </c>
      <c r="D23" s="10">
        <v>8039.4</v>
      </c>
      <c r="G23" s="25">
        <v>5261.08</v>
      </c>
      <c r="H23" s="25"/>
      <c r="I23" s="25"/>
      <c r="L23" s="6">
        <v>11.958299999999999</v>
      </c>
      <c r="M23" s="6">
        <v>0.23230000000000001</v>
      </c>
      <c r="N23" s="6"/>
      <c r="O23" s="25"/>
      <c r="P23" s="25"/>
      <c r="Q23" s="4"/>
      <c r="R23" s="4"/>
      <c r="S23" t="s">
        <v>301</v>
      </c>
    </row>
    <row r="24" spans="1:19" ht="18.399999999999999" x14ac:dyDescent="0.45">
      <c r="A24" s="1">
        <v>1381</v>
      </c>
      <c r="B24" s="1" t="s">
        <v>298</v>
      </c>
      <c r="C24" s="2" t="s">
        <v>22</v>
      </c>
      <c r="D24" s="10">
        <v>8031.04</v>
      </c>
      <c r="G24" s="25">
        <v>5229.13</v>
      </c>
      <c r="H24" s="25"/>
      <c r="I24" s="25"/>
      <c r="L24" s="6">
        <v>12.061199999999999</v>
      </c>
      <c r="M24" s="6">
        <v>0.21210000000000001</v>
      </c>
      <c r="N24" s="6"/>
      <c r="O24" s="25"/>
      <c r="P24" s="25"/>
      <c r="Q24" s="4"/>
      <c r="R24" s="4"/>
      <c r="S24" t="s">
        <v>301</v>
      </c>
    </row>
    <row r="25" spans="1:19" ht="18.399999999999999" x14ac:dyDescent="0.45">
      <c r="A25" s="1">
        <v>1381</v>
      </c>
      <c r="B25" s="1" t="s">
        <v>299</v>
      </c>
      <c r="C25" s="2" t="s">
        <v>23</v>
      </c>
      <c r="D25" s="10">
        <v>8107.55</v>
      </c>
      <c r="G25" s="25">
        <v>5062.76</v>
      </c>
      <c r="H25" s="25"/>
      <c r="I25" s="25"/>
      <c r="L25" s="6">
        <v>11.777200000000001</v>
      </c>
      <c r="M25" s="6">
        <v>0.37879999999999997</v>
      </c>
      <c r="N25" s="6"/>
      <c r="O25" s="25"/>
      <c r="P25" s="25"/>
      <c r="Q25" s="4"/>
      <c r="R25" s="4"/>
      <c r="S25" t="s">
        <v>301</v>
      </c>
    </row>
    <row r="26" spans="1:19" ht="18.399999999999999" x14ac:dyDescent="0.45">
      <c r="A26" s="1">
        <v>1382</v>
      </c>
      <c r="B26" s="1" t="s">
        <v>288</v>
      </c>
      <c r="C26" s="2" t="s">
        <v>24</v>
      </c>
      <c r="D26" s="10">
        <v>8184.5</v>
      </c>
      <c r="G26" s="25">
        <v>5368.56</v>
      </c>
      <c r="H26" s="25"/>
      <c r="I26" s="25"/>
      <c r="L26" s="6">
        <v>12.615500000000001</v>
      </c>
      <c r="M26" s="6">
        <v>0.1394</v>
      </c>
      <c r="N26" s="6"/>
      <c r="O26" s="25"/>
      <c r="P26" s="25"/>
      <c r="Q26" s="4"/>
      <c r="R26" s="4"/>
      <c r="S26" t="s">
        <v>301</v>
      </c>
    </row>
    <row r="27" spans="1:19" ht="18.399999999999999" x14ac:dyDescent="0.45">
      <c r="A27" s="1">
        <v>1382</v>
      </c>
      <c r="B27" s="1" t="s">
        <v>289</v>
      </c>
      <c r="C27" s="2" t="s">
        <v>25</v>
      </c>
      <c r="D27" s="10">
        <v>8182.58</v>
      </c>
      <c r="G27" s="25">
        <v>5948.3</v>
      </c>
      <c r="H27" s="25"/>
      <c r="I27" s="25"/>
      <c r="L27" s="6">
        <v>14.012600000000001</v>
      </c>
      <c r="M27" s="6">
        <v>0.26030000000000003</v>
      </c>
      <c r="N27" s="6"/>
      <c r="O27" s="25"/>
      <c r="P27" s="25"/>
      <c r="Q27" s="4"/>
      <c r="R27" s="4"/>
      <c r="S27" t="s">
        <v>301</v>
      </c>
    </row>
    <row r="28" spans="1:19" ht="18.399999999999999" x14ac:dyDescent="0.45">
      <c r="A28" s="1">
        <v>1382</v>
      </c>
      <c r="B28" s="1" t="s">
        <v>290</v>
      </c>
      <c r="C28" s="2" t="s">
        <v>26</v>
      </c>
      <c r="D28" s="10">
        <v>8189.78</v>
      </c>
      <c r="G28" s="25">
        <v>6703.06</v>
      </c>
      <c r="H28" s="25"/>
      <c r="I28" s="25"/>
      <c r="L28" s="6">
        <v>16.114799999999999</v>
      </c>
      <c r="M28" s="6">
        <v>0.24100000000000002</v>
      </c>
      <c r="N28" s="6"/>
      <c r="O28" s="25"/>
      <c r="P28" s="25"/>
      <c r="Q28" s="4"/>
      <c r="R28" s="4"/>
      <c r="S28" t="s">
        <v>301</v>
      </c>
    </row>
    <row r="29" spans="1:19" ht="18.399999999999999" x14ac:dyDescent="0.45">
      <c r="A29" s="1">
        <v>1382</v>
      </c>
      <c r="B29" s="1" t="s">
        <v>291</v>
      </c>
      <c r="C29" s="2" t="s">
        <v>27</v>
      </c>
      <c r="D29" s="10">
        <v>8231.27</v>
      </c>
      <c r="G29" s="25">
        <v>8521.01</v>
      </c>
      <c r="H29" s="25"/>
      <c r="I29" s="25"/>
      <c r="L29" s="6">
        <v>21.094200000000001</v>
      </c>
      <c r="M29" s="6">
        <v>0.39190000000000003</v>
      </c>
      <c r="N29" s="6"/>
      <c r="O29" s="25"/>
      <c r="P29" s="25"/>
      <c r="Q29" s="4"/>
      <c r="R29" s="4"/>
      <c r="S29" t="s">
        <v>301</v>
      </c>
    </row>
    <row r="30" spans="1:19" ht="18.399999999999999" x14ac:dyDescent="0.45">
      <c r="A30" s="1">
        <v>1382</v>
      </c>
      <c r="B30" s="1" t="s">
        <v>292</v>
      </c>
      <c r="C30" s="2" t="s">
        <v>28</v>
      </c>
      <c r="D30" s="10">
        <v>8313.9599999999991</v>
      </c>
      <c r="G30" s="25">
        <v>9422.9599999999991</v>
      </c>
      <c r="H30" s="25"/>
      <c r="I30" s="25"/>
      <c r="L30" s="6">
        <v>23.5715</v>
      </c>
      <c r="M30" s="6">
        <v>0.27040000000000003</v>
      </c>
      <c r="N30" s="6"/>
      <c r="O30" s="25"/>
      <c r="P30" s="25"/>
      <c r="Q30" s="4"/>
      <c r="R30" s="4"/>
      <c r="S30" t="s">
        <v>301</v>
      </c>
    </row>
    <row r="31" spans="1:19" ht="18.399999999999999" x14ac:dyDescent="0.45">
      <c r="A31" s="1">
        <v>1382</v>
      </c>
      <c r="B31" s="1" t="s">
        <v>293</v>
      </c>
      <c r="C31" s="2" t="s">
        <v>29</v>
      </c>
      <c r="D31" s="10">
        <v>8438.58</v>
      </c>
      <c r="G31" s="25">
        <v>8993</v>
      </c>
      <c r="H31" s="25"/>
      <c r="I31" s="25"/>
      <c r="L31" s="6">
        <v>22.506800000000002</v>
      </c>
      <c r="M31" s="6">
        <v>0.314</v>
      </c>
      <c r="N31" s="6"/>
      <c r="O31" s="25"/>
      <c r="P31" s="25"/>
      <c r="Q31" s="4"/>
      <c r="R31" s="4"/>
      <c r="S31" t="s">
        <v>301</v>
      </c>
    </row>
    <row r="32" spans="1:19" ht="18.399999999999999" x14ac:dyDescent="0.45">
      <c r="A32" s="1">
        <v>1382</v>
      </c>
      <c r="B32" s="1" t="s">
        <v>294</v>
      </c>
      <c r="C32" s="2" t="s">
        <v>30</v>
      </c>
      <c r="D32" s="10">
        <v>8395.65</v>
      </c>
      <c r="G32" s="25">
        <v>8906.9599999999991</v>
      </c>
      <c r="H32" s="25"/>
      <c r="I32" s="25"/>
      <c r="L32" s="6">
        <v>22.525700000000001</v>
      </c>
      <c r="M32" s="6">
        <v>0.3236</v>
      </c>
      <c r="N32" s="6"/>
      <c r="O32" s="25"/>
      <c r="P32" s="25"/>
      <c r="Q32" s="4"/>
      <c r="R32" s="4"/>
      <c r="S32" t="s">
        <v>301</v>
      </c>
    </row>
    <row r="33" spans="1:20" ht="18.399999999999999" x14ac:dyDescent="0.45">
      <c r="A33" s="1">
        <v>1382</v>
      </c>
      <c r="B33" s="1" t="s">
        <v>295</v>
      </c>
      <c r="C33" s="2" t="s">
        <v>31</v>
      </c>
      <c r="D33" s="10">
        <v>8373.75</v>
      </c>
      <c r="G33" s="25">
        <v>9670.4699999999993</v>
      </c>
      <c r="H33" s="25"/>
      <c r="I33" s="25"/>
      <c r="L33" s="6">
        <v>24.640999999999998</v>
      </c>
      <c r="M33" s="6">
        <v>0.34300000000000003</v>
      </c>
      <c r="N33" s="6"/>
      <c r="O33" s="25"/>
      <c r="P33" s="25"/>
      <c r="Q33" s="4"/>
      <c r="R33" s="4"/>
      <c r="S33" t="s">
        <v>301</v>
      </c>
    </row>
    <row r="34" spans="1:20" ht="18.399999999999999" x14ac:dyDescent="0.45">
      <c r="A34" s="1">
        <v>1382</v>
      </c>
      <c r="B34" s="1" t="s">
        <v>296</v>
      </c>
      <c r="C34" s="2" t="s">
        <v>32</v>
      </c>
      <c r="D34" s="10">
        <v>8376.6299999999992</v>
      </c>
      <c r="G34" s="25">
        <v>10555.47</v>
      </c>
      <c r="H34" s="25"/>
      <c r="I34" s="25"/>
      <c r="L34" s="6">
        <v>27.700200000000002</v>
      </c>
      <c r="M34" s="6">
        <v>0.97230000000000005</v>
      </c>
      <c r="N34" s="6"/>
      <c r="O34" s="25"/>
      <c r="P34" s="25"/>
      <c r="Q34" s="4"/>
      <c r="R34" s="4"/>
      <c r="S34" t="s">
        <v>301</v>
      </c>
    </row>
    <row r="35" spans="1:20" ht="18.399999999999999" x14ac:dyDescent="0.45">
      <c r="A35" s="1">
        <v>1382</v>
      </c>
      <c r="B35" s="1" t="s">
        <v>297</v>
      </c>
      <c r="C35" s="2" t="s">
        <v>33</v>
      </c>
      <c r="D35" s="10">
        <v>8349.1200000000008</v>
      </c>
      <c r="G35" s="25">
        <v>11032.92</v>
      </c>
      <c r="H35" s="25"/>
      <c r="I35" s="25"/>
      <c r="L35" s="6">
        <v>29.196300000000001</v>
      </c>
      <c r="M35" s="6">
        <v>0.69330000000000003</v>
      </c>
      <c r="N35" s="6"/>
      <c r="O35" s="25"/>
      <c r="P35" s="25"/>
      <c r="Q35" s="4"/>
      <c r="R35" s="4"/>
      <c r="S35" t="s">
        <v>301</v>
      </c>
    </row>
    <row r="36" spans="1:20" ht="18.399999999999999" x14ac:dyDescent="0.45">
      <c r="A36" s="1">
        <v>1382</v>
      </c>
      <c r="B36" s="1" t="s">
        <v>298</v>
      </c>
      <c r="C36" s="2" t="s">
        <v>34</v>
      </c>
      <c r="D36" s="10">
        <v>8402.27</v>
      </c>
      <c r="G36" s="25">
        <v>10911.26</v>
      </c>
      <c r="H36" s="25"/>
      <c r="I36" s="25"/>
      <c r="L36" s="6">
        <v>29.0245</v>
      </c>
      <c r="M36" s="6">
        <v>1.9685999999999999</v>
      </c>
      <c r="N36" s="6"/>
      <c r="O36" s="25"/>
      <c r="P36" s="25"/>
      <c r="Q36" s="4"/>
      <c r="R36" s="4"/>
      <c r="S36" t="s">
        <v>301</v>
      </c>
    </row>
    <row r="37" spans="1:20" ht="18.399999999999999" x14ac:dyDescent="0.45">
      <c r="A37" s="1">
        <v>1382</v>
      </c>
      <c r="B37" s="1" t="s">
        <v>299</v>
      </c>
      <c r="C37" s="2" t="s">
        <v>35</v>
      </c>
      <c r="D37" s="10">
        <v>8434.18</v>
      </c>
      <c r="G37" s="25">
        <v>11379.3</v>
      </c>
      <c r="H37" s="25"/>
      <c r="I37" s="25"/>
      <c r="L37" s="6">
        <v>30.968499999999999</v>
      </c>
      <c r="M37" s="6">
        <v>0.76849999999999996</v>
      </c>
      <c r="N37" s="6"/>
      <c r="O37" s="25"/>
      <c r="P37" s="25"/>
      <c r="Q37" s="4"/>
      <c r="R37" s="4"/>
      <c r="S37" t="s">
        <v>301</v>
      </c>
    </row>
    <row r="38" spans="1:20" ht="18.399999999999999" x14ac:dyDescent="0.45">
      <c r="A38" s="1">
        <v>1383</v>
      </c>
      <c r="B38" s="1" t="s">
        <v>288</v>
      </c>
      <c r="C38" s="2" t="s">
        <v>36</v>
      </c>
      <c r="D38" s="10">
        <v>8535.7900000000009</v>
      </c>
      <c r="G38" s="25">
        <v>11753.75</v>
      </c>
      <c r="H38" s="25"/>
      <c r="I38" s="25"/>
      <c r="L38" s="6">
        <v>31.9923</v>
      </c>
      <c r="M38" s="6">
        <v>0.30870000000000003</v>
      </c>
      <c r="N38" s="6"/>
      <c r="O38" s="25"/>
      <c r="P38" s="25"/>
      <c r="Q38" s="4"/>
      <c r="R38" s="4"/>
      <c r="S38" t="s">
        <v>301</v>
      </c>
      <c r="T38" s="29">
        <v>187.4</v>
      </c>
    </row>
    <row r="39" spans="1:20" ht="18.399999999999999" x14ac:dyDescent="0.45">
      <c r="A39" s="1">
        <v>1383</v>
      </c>
      <c r="B39" s="1" t="s">
        <v>289</v>
      </c>
      <c r="C39" s="2" t="s">
        <v>37</v>
      </c>
      <c r="D39" s="10">
        <v>8588.6200000000008</v>
      </c>
      <c r="G39" s="25">
        <v>11504.77</v>
      </c>
      <c r="H39" s="25"/>
      <c r="I39" s="25"/>
      <c r="L39" s="6">
        <v>31.473800000000001</v>
      </c>
      <c r="M39" s="6">
        <v>1.2962</v>
      </c>
      <c r="N39" s="6"/>
      <c r="O39" s="25"/>
      <c r="P39" s="25"/>
      <c r="Q39" s="4"/>
      <c r="R39" s="4"/>
      <c r="S39" t="s">
        <v>301</v>
      </c>
      <c r="T39" s="29">
        <v>188.2</v>
      </c>
    </row>
    <row r="40" spans="1:20" ht="18.399999999999999" x14ac:dyDescent="0.45">
      <c r="A40" s="1">
        <v>1383</v>
      </c>
      <c r="B40" s="1" t="s">
        <v>290</v>
      </c>
      <c r="C40" s="2" t="s">
        <v>38</v>
      </c>
      <c r="D40" s="10">
        <v>8619.92</v>
      </c>
      <c r="G40" s="25">
        <v>12063.5</v>
      </c>
      <c r="H40" s="25"/>
      <c r="I40" s="25"/>
      <c r="L40" s="6">
        <v>33.211200000000005</v>
      </c>
      <c r="M40" s="6">
        <v>0.85540000000000005</v>
      </c>
      <c r="N40" s="6"/>
      <c r="O40" s="25"/>
      <c r="P40" s="25"/>
      <c r="Q40" s="4"/>
      <c r="R40" s="4"/>
      <c r="S40" t="s">
        <v>301</v>
      </c>
      <c r="T40" s="29">
        <v>188.9</v>
      </c>
    </row>
    <row r="41" spans="1:20" ht="18.399999999999999" x14ac:dyDescent="0.45">
      <c r="A41" s="1">
        <v>1383</v>
      </c>
      <c r="B41" s="1" t="s">
        <v>291</v>
      </c>
      <c r="C41" s="2" t="s">
        <v>39</v>
      </c>
      <c r="D41" s="10">
        <v>8671.85</v>
      </c>
      <c r="G41" s="25">
        <v>13200.11</v>
      </c>
      <c r="H41" s="25"/>
      <c r="I41" s="25"/>
      <c r="L41" s="6">
        <v>36.478899999999996</v>
      </c>
      <c r="M41" s="6">
        <v>1.0048999999999999</v>
      </c>
      <c r="N41" s="6"/>
      <c r="O41" s="25"/>
      <c r="P41" s="25"/>
      <c r="Q41" s="4"/>
      <c r="R41" s="4"/>
      <c r="S41" t="s">
        <v>301</v>
      </c>
      <c r="T41" s="29">
        <v>189.1</v>
      </c>
    </row>
    <row r="42" spans="1:20" ht="18.399999999999999" x14ac:dyDescent="0.45">
      <c r="A42" s="1">
        <v>1383</v>
      </c>
      <c r="B42" s="1" t="s">
        <v>292</v>
      </c>
      <c r="C42" s="2" t="s">
        <v>40</v>
      </c>
      <c r="D42" s="10">
        <v>8755.92</v>
      </c>
      <c r="G42" s="25">
        <v>12993.22</v>
      </c>
      <c r="H42" s="25"/>
      <c r="I42" s="25"/>
      <c r="L42" s="6">
        <v>36.771900000000002</v>
      </c>
      <c r="M42" s="6">
        <v>0.82599999999999996</v>
      </c>
      <c r="N42" s="6"/>
      <c r="O42" s="25"/>
      <c r="P42" s="25"/>
      <c r="Q42" s="4"/>
      <c r="R42" s="4"/>
      <c r="S42" t="s">
        <v>301</v>
      </c>
      <c r="T42" s="29">
        <v>189.2</v>
      </c>
    </row>
    <row r="43" spans="1:20" ht="18.399999999999999" x14ac:dyDescent="0.45">
      <c r="A43" s="1">
        <v>1383</v>
      </c>
      <c r="B43" s="1" t="s">
        <v>293</v>
      </c>
      <c r="C43" s="2" t="s">
        <v>41</v>
      </c>
      <c r="D43" s="10">
        <v>8778.34</v>
      </c>
      <c r="G43" s="25">
        <v>13596.67</v>
      </c>
      <c r="H43" s="25"/>
      <c r="I43" s="25"/>
      <c r="L43" s="6">
        <v>39.220999999999997</v>
      </c>
      <c r="M43" s="6">
        <v>0.57099999999999995</v>
      </c>
      <c r="N43" s="6"/>
      <c r="O43" s="25"/>
      <c r="P43" s="25"/>
      <c r="Q43" s="4"/>
      <c r="R43" s="4"/>
      <c r="S43" t="s">
        <v>301</v>
      </c>
      <c r="T43" s="29">
        <v>189.8</v>
      </c>
    </row>
    <row r="44" spans="1:20" ht="18.399999999999999" x14ac:dyDescent="0.45">
      <c r="A44" s="1">
        <v>1383</v>
      </c>
      <c r="B44" s="1" t="s">
        <v>294</v>
      </c>
      <c r="C44" s="2" t="s">
        <v>42</v>
      </c>
      <c r="D44" s="10">
        <v>8785</v>
      </c>
      <c r="G44" s="25">
        <v>13198.15</v>
      </c>
      <c r="H44" s="25"/>
      <c r="I44" s="25"/>
      <c r="L44" s="6">
        <v>38.4467</v>
      </c>
      <c r="M44" s="6">
        <v>0.67559999999999998</v>
      </c>
      <c r="N44" s="6"/>
      <c r="O44" s="25"/>
      <c r="P44" s="25"/>
      <c r="Q44" s="4"/>
      <c r="R44" s="4"/>
      <c r="S44" t="s">
        <v>301</v>
      </c>
      <c r="T44" s="29">
        <v>190.8</v>
      </c>
    </row>
    <row r="45" spans="1:20" ht="18.399999999999999" x14ac:dyDescent="0.45">
      <c r="A45" s="1">
        <v>1383</v>
      </c>
      <c r="B45" s="1" t="s">
        <v>295</v>
      </c>
      <c r="C45" s="2" t="s">
        <v>43</v>
      </c>
      <c r="D45" s="10">
        <v>8797</v>
      </c>
      <c r="G45" s="25">
        <v>13617.59</v>
      </c>
      <c r="H45" s="25"/>
      <c r="I45" s="25"/>
      <c r="L45" s="6">
        <v>39.8581</v>
      </c>
      <c r="M45" s="6">
        <v>0.96219999999999994</v>
      </c>
      <c r="N45" s="6"/>
      <c r="O45" s="25"/>
      <c r="P45" s="25"/>
      <c r="Q45" s="4"/>
      <c r="R45" s="4"/>
      <c r="S45" t="s">
        <v>301</v>
      </c>
      <c r="T45" s="29">
        <v>191.7</v>
      </c>
    </row>
    <row r="46" spans="1:20" ht="18.399999999999999" x14ac:dyDescent="0.45">
      <c r="A46" s="1">
        <v>1383</v>
      </c>
      <c r="B46" s="1" t="s">
        <v>296</v>
      </c>
      <c r="C46" s="2" t="s">
        <v>44</v>
      </c>
      <c r="D46" s="10">
        <v>8816</v>
      </c>
      <c r="G46" s="25">
        <v>13571.8</v>
      </c>
      <c r="H46" s="25"/>
      <c r="I46" s="25"/>
      <c r="L46" s="6">
        <v>41.360500000000002</v>
      </c>
      <c r="M46" s="6">
        <v>1.502</v>
      </c>
      <c r="N46" s="6"/>
      <c r="O46" s="25"/>
      <c r="P46" s="25"/>
      <c r="Q46" s="4"/>
      <c r="R46" s="4"/>
      <c r="S46" t="s">
        <v>301</v>
      </c>
      <c r="T46" s="29">
        <v>191.7</v>
      </c>
    </row>
    <row r="47" spans="1:20" ht="18.399999999999999" x14ac:dyDescent="0.45">
      <c r="A47" s="1">
        <v>1383</v>
      </c>
      <c r="B47" s="1" t="s">
        <v>297</v>
      </c>
      <c r="C47" s="2" t="s">
        <v>45</v>
      </c>
      <c r="D47" s="10">
        <v>8827</v>
      </c>
      <c r="G47" s="25">
        <v>13168.36</v>
      </c>
      <c r="H47" s="25"/>
      <c r="I47" s="25"/>
      <c r="L47" s="6">
        <v>41.214100000000002</v>
      </c>
      <c r="M47" s="6">
        <v>1.1467000000000001</v>
      </c>
      <c r="N47" s="6"/>
      <c r="O47" s="25"/>
      <c r="P47" s="25"/>
      <c r="Q47" s="4"/>
      <c r="R47" s="4"/>
      <c r="S47" t="s">
        <v>301</v>
      </c>
      <c r="T47" s="29">
        <v>191.6</v>
      </c>
    </row>
    <row r="48" spans="1:20" ht="18.399999999999999" x14ac:dyDescent="0.45">
      <c r="A48" s="1">
        <v>1383</v>
      </c>
      <c r="B48" s="1" t="s">
        <v>298</v>
      </c>
      <c r="C48" s="2" t="s">
        <v>46</v>
      </c>
      <c r="D48" s="10">
        <v>8888</v>
      </c>
      <c r="G48" s="25">
        <v>12648.99</v>
      </c>
      <c r="H48" s="25"/>
      <c r="I48" s="25"/>
      <c r="L48" s="6">
        <v>40.115200000000002</v>
      </c>
      <c r="M48" s="6">
        <v>0.38159999999999999</v>
      </c>
      <c r="N48" s="6"/>
      <c r="O48" s="25"/>
      <c r="P48" s="25"/>
      <c r="Q48" s="4"/>
      <c r="R48" s="4"/>
      <c r="S48" t="s">
        <v>301</v>
      </c>
      <c r="T48" s="29">
        <v>192.4</v>
      </c>
    </row>
    <row r="49" spans="1:20" ht="18.399999999999999" x14ac:dyDescent="0.45">
      <c r="A49" s="1">
        <v>1383</v>
      </c>
      <c r="B49" s="1" t="s">
        <v>299</v>
      </c>
      <c r="C49" s="2" t="s">
        <v>47</v>
      </c>
      <c r="D49" s="10">
        <v>8882</v>
      </c>
      <c r="G49" s="25">
        <v>12113.01</v>
      </c>
      <c r="H49" s="25"/>
      <c r="I49" s="25"/>
      <c r="L49" s="6">
        <v>38.7547</v>
      </c>
      <c r="M49" s="6">
        <v>0.89030000000000009</v>
      </c>
      <c r="N49" s="6"/>
      <c r="O49" s="25"/>
      <c r="P49" s="25"/>
      <c r="Q49" s="4"/>
      <c r="R49" s="4"/>
      <c r="S49" t="s">
        <v>301</v>
      </c>
      <c r="T49" s="29">
        <v>193.1</v>
      </c>
    </row>
    <row r="50" spans="1:20" ht="18.399999999999999" x14ac:dyDescent="0.45">
      <c r="A50" s="1">
        <v>1384</v>
      </c>
      <c r="B50" s="1" t="s">
        <v>288</v>
      </c>
      <c r="C50" s="2" t="s">
        <v>48</v>
      </c>
      <c r="D50" s="10">
        <v>8905</v>
      </c>
      <c r="G50" s="25">
        <v>12701.78</v>
      </c>
      <c r="H50" s="25"/>
      <c r="I50" s="25"/>
      <c r="L50" s="6">
        <v>41.147599999999997</v>
      </c>
      <c r="M50" s="6">
        <v>0.57779999999999998</v>
      </c>
      <c r="N50" s="6"/>
      <c r="O50" s="25"/>
      <c r="P50" s="25"/>
      <c r="Q50" s="4"/>
      <c r="R50" s="4"/>
      <c r="S50" t="s">
        <v>301</v>
      </c>
      <c r="T50" s="29">
        <v>193.7</v>
      </c>
    </row>
    <row r="51" spans="1:20" ht="18.399999999999999" x14ac:dyDescent="0.45">
      <c r="A51" s="1">
        <v>1384</v>
      </c>
      <c r="B51" s="1" t="s">
        <v>289</v>
      </c>
      <c r="C51" s="2" t="s">
        <v>49</v>
      </c>
      <c r="D51" s="10">
        <v>8916</v>
      </c>
      <c r="G51" s="25">
        <v>12605.07</v>
      </c>
      <c r="H51" s="25"/>
      <c r="I51" s="25"/>
      <c r="L51" s="6">
        <v>40.924799999999998</v>
      </c>
      <c r="M51" s="6">
        <v>0.56410000000000005</v>
      </c>
      <c r="N51" s="6"/>
      <c r="O51" s="25"/>
      <c r="P51" s="25"/>
      <c r="Q51" s="4"/>
      <c r="R51" s="4"/>
      <c r="S51" t="s">
        <v>301</v>
      </c>
      <c r="T51" s="29">
        <v>193.6</v>
      </c>
    </row>
    <row r="52" spans="1:20" ht="18.399999999999999" x14ac:dyDescent="0.45">
      <c r="A52" s="1">
        <v>1384</v>
      </c>
      <c r="B52" s="1" t="s">
        <v>290</v>
      </c>
      <c r="C52" s="2" t="s">
        <v>50</v>
      </c>
      <c r="D52" s="10">
        <v>8987</v>
      </c>
      <c r="G52" s="25">
        <v>12423.86</v>
      </c>
      <c r="H52" s="25"/>
      <c r="I52" s="25"/>
      <c r="L52" s="6">
        <v>40.5548</v>
      </c>
      <c r="M52" s="6">
        <v>0.77279999999999993</v>
      </c>
      <c r="N52" s="6"/>
      <c r="O52" s="25"/>
      <c r="P52" s="25"/>
      <c r="Q52" s="4"/>
      <c r="R52" s="4"/>
      <c r="S52" t="s">
        <v>301</v>
      </c>
      <c r="T52" s="29">
        <v>193.7</v>
      </c>
    </row>
    <row r="53" spans="1:20" ht="18.399999999999999" x14ac:dyDescent="0.45">
      <c r="A53" s="1">
        <v>1384</v>
      </c>
      <c r="B53" s="1" t="s">
        <v>291</v>
      </c>
      <c r="C53" s="2" t="s">
        <v>51</v>
      </c>
      <c r="D53" s="10">
        <v>9008</v>
      </c>
      <c r="G53" s="25">
        <v>11731.81</v>
      </c>
      <c r="H53" s="25"/>
      <c r="I53" s="25"/>
      <c r="L53" s="6">
        <v>38.396300000000004</v>
      </c>
      <c r="M53" s="6">
        <v>0.59509999999999996</v>
      </c>
      <c r="N53" s="6"/>
      <c r="O53" s="25"/>
      <c r="P53" s="25"/>
      <c r="Q53" s="4"/>
      <c r="R53" s="4"/>
      <c r="S53" t="s">
        <v>301</v>
      </c>
      <c r="T53" s="29">
        <v>194.9</v>
      </c>
    </row>
    <row r="54" spans="1:20" ht="18.399999999999999" x14ac:dyDescent="0.45">
      <c r="A54" s="1">
        <v>1384</v>
      </c>
      <c r="B54" s="1" t="s">
        <v>292</v>
      </c>
      <c r="C54" s="2" t="s">
        <v>52</v>
      </c>
      <c r="D54" s="10">
        <v>9024</v>
      </c>
      <c r="G54" s="25">
        <v>10752.47</v>
      </c>
      <c r="H54" s="25"/>
      <c r="I54" s="25"/>
      <c r="L54" s="6">
        <v>35.772599999999997</v>
      </c>
      <c r="M54" s="6">
        <v>0.35960000000000003</v>
      </c>
      <c r="N54" s="6"/>
      <c r="O54" s="25"/>
      <c r="P54" s="25"/>
      <c r="Q54" s="4"/>
      <c r="R54" s="4"/>
      <c r="S54" t="s">
        <v>301</v>
      </c>
      <c r="T54" s="29">
        <v>196.1</v>
      </c>
    </row>
    <row r="55" spans="1:20" ht="18.399999999999999" x14ac:dyDescent="0.45">
      <c r="A55" s="1">
        <v>1384</v>
      </c>
      <c r="B55" s="1" t="s">
        <v>293</v>
      </c>
      <c r="C55" s="2" t="s">
        <v>53</v>
      </c>
      <c r="D55" s="10">
        <v>9034</v>
      </c>
      <c r="G55" s="25">
        <v>10411.450000000001</v>
      </c>
      <c r="H55" s="25"/>
      <c r="I55" s="25"/>
      <c r="L55" s="6">
        <v>35.281599999999997</v>
      </c>
      <c r="M55" s="6">
        <v>0.83489999999999998</v>
      </c>
      <c r="N55" s="6"/>
      <c r="O55" s="25"/>
      <c r="P55" s="25"/>
      <c r="Q55" s="4"/>
      <c r="R55" s="4"/>
      <c r="S55" t="s">
        <v>301</v>
      </c>
      <c r="T55" s="29">
        <v>198.8</v>
      </c>
    </row>
    <row r="56" spans="1:20" ht="18.399999999999999" x14ac:dyDescent="0.45">
      <c r="A56" s="1">
        <v>1384</v>
      </c>
      <c r="B56" s="1" t="s">
        <v>294</v>
      </c>
      <c r="C56" s="2" t="s">
        <v>54</v>
      </c>
      <c r="D56" s="10">
        <v>9053</v>
      </c>
      <c r="G56" s="25">
        <v>10031.879999999999</v>
      </c>
      <c r="H56" s="25"/>
      <c r="I56" s="25"/>
      <c r="L56" s="6">
        <v>34.023399999999995</v>
      </c>
      <c r="M56" s="6">
        <v>0.21150000000000002</v>
      </c>
      <c r="N56" s="6"/>
      <c r="O56" s="25"/>
      <c r="P56" s="25"/>
      <c r="Q56" s="4"/>
      <c r="R56" s="4"/>
      <c r="S56" t="s">
        <v>301</v>
      </c>
      <c r="T56" s="29">
        <v>199.1</v>
      </c>
    </row>
    <row r="57" spans="1:20" ht="18.399999999999999" x14ac:dyDescent="0.45">
      <c r="A57" s="1">
        <v>1384</v>
      </c>
      <c r="B57" s="1" t="s">
        <v>295</v>
      </c>
      <c r="C57" s="2" t="s">
        <v>55</v>
      </c>
      <c r="D57" s="10">
        <v>9083</v>
      </c>
      <c r="G57" s="25">
        <v>9788.67</v>
      </c>
      <c r="H57" s="25"/>
      <c r="I57" s="25"/>
      <c r="L57" s="6">
        <v>33.462200000000003</v>
      </c>
      <c r="M57" s="6">
        <v>0.30430000000000001</v>
      </c>
      <c r="N57" s="6"/>
      <c r="O57" s="25"/>
      <c r="P57" s="25"/>
      <c r="Q57" s="4"/>
      <c r="R57" s="4"/>
      <c r="S57" t="s">
        <v>301</v>
      </c>
      <c r="T57" s="29">
        <v>198.1</v>
      </c>
    </row>
    <row r="58" spans="1:20" ht="18.399999999999999" x14ac:dyDescent="0.45">
      <c r="A58" s="1">
        <v>1384</v>
      </c>
      <c r="B58" s="1" t="s">
        <v>296</v>
      </c>
      <c r="C58" s="2" t="s">
        <v>56</v>
      </c>
      <c r="D58" s="10">
        <v>9099</v>
      </c>
      <c r="G58" s="25">
        <v>10304.200000000001</v>
      </c>
      <c r="H58" s="25"/>
      <c r="I58" s="25"/>
      <c r="L58" s="6">
        <v>35.3339</v>
      </c>
      <c r="M58" s="6">
        <v>0.61210000000000009</v>
      </c>
      <c r="N58" s="6"/>
      <c r="O58" s="25"/>
      <c r="P58" s="25"/>
      <c r="Q58" s="4"/>
      <c r="R58" s="4"/>
      <c r="S58" t="s">
        <v>301</v>
      </c>
      <c r="T58" s="29">
        <v>198.1</v>
      </c>
    </row>
    <row r="59" spans="1:20" ht="18.399999999999999" x14ac:dyDescent="0.45">
      <c r="A59" s="1">
        <v>1384</v>
      </c>
      <c r="B59" s="1" t="s">
        <v>297</v>
      </c>
      <c r="C59" s="2" t="s">
        <v>57</v>
      </c>
      <c r="D59" s="10">
        <v>9106</v>
      </c>
      <c r="G59" s="25">
        <v>10107.64</v>
      </c>
      <c r="H59" s="25"/>
      <c r="I59" s="25"/>
      <c r="L59" s="6">
        <v>34.709699999999998</v>
      </c>
      <c r="M59" s="6">
        <v>0.25119999999999998</v>
      </c>
      <c r="N59" s="6"/>
      <c r="O59" s="25"/>
      <c r="P59" s="25"/>
      <c r="Q59" s="4"/>
      <c r="R59" s="4"/>
      <c r="S59" t="s">
        <v>301</v>
      </c>
      <c r="T59" s="29">
        <v>199.3</v>
      </c>
    </row>
    <row r="60" spans="1:20" ht="18.399999999999999" x14ac:dyDescent="0.45">
      <c r="A60" s="1">
        <v>1384</v>
      </c>
      <c r="B60" s="1" t="s">
        <v>298</v>
      </c>
      <c r="C60" s="2" t="s">
        <v>58</v>
      </c>
      <c r="D60" s="10">
        <v>9134</v>
      </c>
      <c r="G60" s="25">
        <v>9868.34</v>
      </c>
      <c r="H60" s="25"/>
      <c r="I60" s="25"/>
      <c r="L60" s="6">
        <v>33.920699999999997</v>
      </c>
      <c r="M60" s="6">
        <v>0.2157</v>
      </c>
      <c r="N60" s="6"/>
      <c r="O60" s="25"/>
      <c r="P60" s="25"/>
      <c r="Q60" s="4"/>
      <c r="R60" s="4"/>
      <c r="S60" t="s">
        <v>301</v>
      </c>
      <c r="T60" s="29">
        <v>199.4</v>
      </c>
    </row>
    <row r="61" spans="1:20" ht="18.399999999999999" x14ac:dyDescent="0.45">
      <c r="A61" s="1">
        <v>1384</v>
      </c>
      <c r="B61" s="1" t="s">
        <v>299</v>
      </c>
      <c r="C61" s="2" t="s">
        <v>59</v>
      </c>
      <c r="D61" s="10">
        <v>9152</v>
      </c>
      <c r="G61" s="25">
        <v>9459.36</v>
      </c>
      <c r="H61" s="25"/>
      <c r="I61" s="25"/>
      <c r="L61" s="6">
        <v>32.572699999999998</v>
      </c>
      <c r="M61" s="6">
        <v>0.34789999999999999</v>
      </c>
      <c r="N61" s="6"/>
      <c r="O61" s="25"/>
      <c r="P61" s="25"/>
      <c r="Q61" s="4"/>
      <c r="R61" s="4"/>
      <c r="S61" t="s">
        <v>301</v>
      </c>
      <c r="T61" s="29">
        <v>199.7</v>
      </c>
    </row>
    <row r="62" spans="1:20" ht="18.399999999999999" x14ac:dyDescent="0.45">
      <c r="A62" s="1">
        <v>1385</v>
      </c>
      <c r="B62" s="1" t="s">
        <v>288</v>
      </c>
      <c r="C62" s="2" t="s">
        <v>60</v>
      </c>
      <c r="D62" s="10">
        <v>9163</v>
      </c>
      <c r="G62" s="25">
        <v>9515.1</v>
      </c>
      <c r="H62" s="25"/>
      <c r="I62" s="25"/>
      <c r="L62" s="6">
        <v>32.775799999999997</v>
      </c>
      <c r="M62" s="6">
        <v>0.2944</v>
      </c>
      <c r="N62" s="6"/>
      <c r="O62" s="25"/>
      <c r="P62" s="25"/>
      <c r="Q62" s="4"/>
      <c r="R62" s="4"/>
      <c r="S62" t="s">
        <v>301</v>
      </c>
      <c r="T62" s="29">
        <v>200.7</v>
      </c>
    </row>
    <row r="63" spans="1:20" ht="18.399999999999999" x14ac:dyDescent="0.45">
      <c r="A63" s="1">
        <v>1385</v>
      </c>
      <c r="B63" s="1" t="s">
        <v>289</v>
      </c>
      <c r="C63" s="2" t="s">
        <v>61</v>
      </c>
      <c r="D63" s="10">
        <v>9166</v>
      </c>
      <c r="G63" s="25">
        <v>9522</v>
      </c>
      <c r="H63" s="25"/>
      <c r="I63" s="25"/>
      <c r="L63" s="6">
        <v>32.813099999999999</v>
      </c>
      <c r="M63" s="6">
        <v>0.34720000000000001</v>
      </c>
      <c r="N63" s="6"/>
      <c r="O63" s="25"/>
      <c r="P63" s="25"/>
      <c r="Q63" s="4"/>
      <c r="R63" s="4"/>
      <c r="S63" t="s">
        <v>301</v>
      </c>
      <c r="T63" s="29">
        <v>201.3</v>
      </c>
    </row>
    <row r="64" spans="1:20" ht="18.399999999999999" x14ac:dyDescent="0.45">
      <c r="A64" s="1">
        <v>1385</v>
      </c>
      <c r="B64" s="1" t="s">
        <v>290</v>
      </c>
      <c r="C64" s="2" t="s">
        <v>62</v>
      </c>
      <c r="D64" s="10">
        <v>9174</v>
      </c>
      <c r="G64" s="25">
        <v>9576.9</v>
      </c>
      <c r="H64" s="25"/>
      <c r="I64" s="25"/>
      <c r="L64" s="6">
        <v>33.061</v>
      </c>
      <c r="M64" s="6">
        <v>0.33979999999999999</v>
      </c>
      <c r="N64" s="6"/>
      <c r="O64" s="25"/>
      <c r="P64" s="25"/>
      <c r="Q64" s="4"/>
      <c r="R64" s="4"/>
      <c r="S64" t="s">
        <v>301</v>
      </c>
      <c r="T64" s="29">
        <v>201.8</v>
      </c>
    </row>
    <row r="65" spans="1:21" ht="18.399999999999999" x14ac:dyDescent="0.45">
      <c r="A65" s="1">
        <v>1385</v>
      </c>
      <c r="B65" s="1" t="s">
        <v>291</v>
      </c>
      <c r="C65" s="2" t="s">
        <v>63</v>
      </c>
      <c r="D65" s="10">
        <v>9193</v>
      </c>
      <c r="G65" s="25">
        <v>9531.7000000000007</v>
      </c>
      <c r="H65" s="25"/>
      <c r="I65" s="25"/>
      <c r="L65" s="6">
        <v>32.932400000000001</v>
      </c>
      <c r="M65" s="6">
        <v>0.26669999999999999</v>
      </c>
      <c r="N65" s="6"/>
      <c r="O65" s="25"/>
      <c r="P65" s="25"/>
      <c r="Q65" s="4"/>
      <c r="R65" s="4"/>
      <c r="S65" t="s">
        <v>301</v>
      </c>
      <c r="T65" s="29">
        <v>202.9</v>
      </c>
    </row>
    <row r="66" spans="1:21" ht="18.399999999999999" x14ac:dyDescent="0.45">
      <c r="A66" s="1">
        <v>1385</v>
      </c>
      <c r="B66" s="1" t="s">
        <v>292</v>
      </c>
      <c r="C66" s="2" t="s">
        <v>64</v>
      </c>
      <c r="D66" s="10">
        <v>9211</v>
      </c>
      <c r="G66" s="25">
        <v>9226.2999999999993</v>
      </c>
      <c r="H66" s="25"/>
      <c r="I66" s="25"/>
      <c r="L66" s="6">
        <v>32.077800000000003</v>
      </c>
      <c r="M66" s="6">
        <v>0.34989999999999999</v>
      </c>
      <c r="N66" s="6"/>
      <c r="O66" s="25"/>
      <c r="P66" s="25"/>
      <c r="Q66" s="4"/>
      <c r="R66" s="4"/>
      <c r="S66" t="s">
        <v>301</v>
      </c>
      <c r="T66" s="29">
        <v>203.8</v>
      </c>
    </row>
    <row r="67" spans="1:21" ht="18.399999999999999" x14ac:dyDescent="0.45">
      <c r="A67" s="1">
        <v>1385</v>
      </c>
      <c r="B67" s="1" t="s">
        <v>293</v>
      </c>
      <c r="C67" s="2" t="s">
        <v>65</v>
      </c>
      <c r="D67" s="10">
        <v>9219</v>
      </c>
      <c r="G67" s="25">
        <v>9501.2999999999993</v>
      </c>
      <c r="H67" s="25"/>
      <c r="I67" s="25"/>
      <c r="L67" s="6">
        <v>33.054099999999998</v>
      </c>
      <c r="M67" s="6">
        <v>0.44400000000000006</v>
      </c>
      <c r="N67" s="6"/>
      <c r="O67" s="25"/>
      <c r="P67" s="25"/>
      <c r="Q67" s="4"/>
      <c r="R67" s="4"/>
      <c r="S67" t="s">
        <v>301</v>
      </c>
      <c r="T67" s="29">
        <v>202.8</v>
      </c>
    </row>
    <row r="68" spans="1:21" ht="18.399999999999999" x14ac:dyDescent="0.45">
      <c r="A68" s="1">
        <v>1385</v>
      </c>
      <c r="B68" s="1" t="s">
        <v>294</v>
      </c>
      <c r="C68" s="2" t="s">
        <v>66</v>
      </c>
      <c r="D68" s="10">
        <v>9226</v>
      </c>
      <c r="G68" s="25">
        <v>9588.9</v>
      </c>
      <c r="H68" s="25"/>
      <c r="I68" s="25"/>
      <c r="L68" s="6">
        <v>33.185099999999998</v>
      </c>
      <c r="M68" s="6">
        <v>0.39249999999999996</v>
      </c>
      <c r="N68" s="6"/>
      <c r="O68" s="25"/>
      <c r="P68" s="25"/>
      <c r="Q68" s="4"/>
      <c r="R68" s="4"/>
      <c r="S68" t="s">
        <v>301</v>
      </c>
      <c r="T68" s="29">
        <v>201.9</v>
      </c>
    </row>
    <row r="69" spans="1:21" ht="18.399999999999999" x14ac:dyDescent="0.45">
      <c r="A69" s="1">
        <v>1385</v>
      </c>
      <c r="B69" s="1" t="s">
        <v>295</v>
      </c>
      <c r="C69" s="2" t="s">
        <v>67</v>
      </c>
      <c r="D69" s="10">
        <v>9241</v>
      </c>
      <c r="G69" s="25">
        <v>9672.5</v>
      </c>
      <c r="H69" s="25"/>
      <c r="I69" s="25"/>
      <c r="L69" s="6">
        <v>33.474400000000003</v>
      </c>
      <c r="M69" s="6">
        <v>0.37109999999999999</v>
      </c>
      <c r="N69" s="6"/>
      <c r="O69" s="25"/>
      <c r="P69" s="25"/>
      <c r="Q69" s="4"/>
      <c r="R69" s="4"/>
      <c r="S69" t="s">
        <v>301</v>
      </c>
      <c r="T69" s="29">
        <v>202</v>
      </c>
    </row>
    <row r="70" spans="1:21" ht="18.399999999999999" x14ac:dyDescent="0.45">
      <c r="A70" s="1">
        <v>1385</v>
      </c>
      <c r="B70" s="1" t="s">
        <v>296</v>
      </c>
      <c r="C70" s="2" t="s">
        <v>68</v>
      </c>
      <c r="D70" s="10">
        <v>9263</v>
      </c>
      <c r="G70" s="25">
        <v>10078.4</v>
      </c>
      <c r="H70" s="25"/>
      <c r="I70" s="25"/>
      <c r="L70" s="6">
        <v>34.643700000000003</v>
      </c>
      <c r="M70" s="6">
        <v>0.78449999999999998</v>
      </c>
      <c r="N70" s="6"/>
      <c r="O70" s="25"/>
      <c r="P70" s="25"/>
      <c r="Q70" s="4"/>
      <c r="R70" s="4"/>
      <c r="S70" t="s">
        <v>301</v>
      </c>
      <c r="T70" s="29">
        <v>203.1</v>
      </c>
    </row>
    <row r="71" spans="1:21" ht="18.399999999999999" x14ac:dyDescent="0.45">
      <c r="A71" s="1">
        <v>1385</v>
      </c>
      <c r="B71" s="1" t="s">
        <v>297</v>
      </c>
      <c r="C71" s="2" t="s">
        <v>69</v>
      </c>
      <c r="D71" s="10">
        <v>9270</v>
      </c>
      <c r="G71" s="25">
        <v>10012.4</v>
      </c>
      <c r="H71" s="25"/>
      <c r="I71" s="25"/>
      <c r="L71" s="6">
        <v>34.830100000000002</v>
      </c>
      <c r="M71" s="6">
        <v>0.49790000000000001</v>
      </c>
      <c r="N71" s="6"/>
      <c r="O71" s="25"/>
      <c r="P71" s="25"/>
      <c r="Q71" s="4"/>
      <c r="R71" s="4"/>
      <c r="S71" t="s">
        <v>301</v>
      </c>
      <c r="T71" s="29">
        <v>203.43700000000001</v>
      </c>
    </row>
    <row r="72" spans="1:21" ht="18.399999999999999" x14ac:dyDescent="0.45">
      <c r="A72" s="1">
        <v>1385</v>
      </c>
      <c r="B72" s="1" t="s">
        <v>298</v>
      </c>
      <c r="C72" s="2" t="s">
        <v>70</v>
      </c>
      <c r="D72" s="10">
        <v>9278</v>
      </c>
      <c r="G72" s="25">
        <v>9940.2999999999993</v>
      </c>
      <c r="H72" s="25"/>
      <c r="I72" s="25"/>
      <c r="L72" s="6">
        <v>36.852400000000003</v>
      </c>
      <c r="M72" s="6">
        <v>0.35639999999999999</v>
      </c>
      <c r="N72" s="6"/>
      <c r="O72" s="25"/>
      <c r="P72" s="25"/>
      <c r="Q72" s="4"/>
      <c r="R72" s="4"/>
      <c r="S72" t="s">
        <v>301</v>
      </c>
      <c r="T72" s="29">
        <v>204.226</v>
      </c>
    </row>
    <row r="73" spans="1:21" ht="18.399999999999999" x14ac:dyDescent="0.45">
      <c r="A73" s="1">
        <v>1385</v>
      </c>
      <c r="B73" s="1" t="s">
        <v>299</v>
      </c>
      <c r="C73" s="2" t="s">
        <v>71</v>
      </c>
      <c r="D73" s="10">
        <v>9311</v>
      </c>
      <c r="G73" s="25">
        <v>9821</v>
      </c>
      <c r="H73" s="25"/>
      <c r="I73" s="25"/>
      <c r="L73" s="6">
        <v>39.502800000000001</v>
      </c>
      <c r="M73" s="6">
        <v>1.1166</v>
      </c>
      <c r="N73" s="6"/>
      <c r="O73" s="25"/>
      <c r="P73" s="25"/>
      <c r="Q73" s="4"/>
      <c r="R73" s="4"/>
      <c r="S73" t="s">
        <v>301</v>
      </c>
      <c r="T73" s="29">
        <v>205.28800000000001</v>
      </c>
    </row>
    <row r="74" spans="1:21" ht="18.399999999999999" x14ac:dyDescent="0.45">
      <c r="A74" s="1">
        <v>1386</v>
      </c>
      <c r="B74" s="1" t="s">
        <v>288</v>
      </c>
      <c r="C74" s="2" t="s">
        <v>72</v>
      </c>
      <c r="D74" s="10">
        <v>9318</v>
      </c>
      <c r="G74" s="25">
        <v>9747</v>
      </c>
      <c r="H74" s="25"/>
      <c r="I74" s="25"/>
      <c r="L74" s="6">
        <v>39.213000000000001</v>
      </c>
      <c r="M74" s="6">
        <v>0.14199999999999999</v>
      </c>
      <c r="N74" s="6"/>
      <c r="O74" s="25"/>
      <c r="P74" s="25"/>
      <c r="Q74" s="4"/>
      <c r="R74" s="4"/>
      <c r="S74" t="s">
        <v>301</v>
      </c>
      <c r="T74" s="29">
        <v>205.904</v>
      </c>
      <c r="U74" s="30">
        <f t="shared" ref="U74:U137" si="0">T74/T62-1</f>
        <v>2.5929247633283525E-2</v>
      </c>
    </row>
    <row r="75" spans="1:21" ht="18.399999999999999" x14ac:dyDescent="0.45">
      <c r="A75" s="1">
        <v>1386</v>
      </c>
      <c r="B75" s="1" t="s">
        <v>289</v>
      </c>
      <c r="C75" s="2" t="s">
        <v>73</v>
      </c>
      <c r="D75" s="10">
        <v>9299</v>
      </c>
      <c r="G75" s="25">
        <v>9454</v>
      </c>
      <c r="H75" s="25"/>
      <c r="I75" s="25"/>
      <c r="L75" s="6">
        <v>38.106700000000004</v>
      </c>
      <c r="M75" s="6">
        <v>0.7571</v>
      </c>
      <c r="N75" s="6"/>
      <c r="O75" s="25"/>
      <c r="P75" s="25"/>
      <c r="Q75" s="4"/>
      <c r="R75" s="4"/>
      <c r="S75" t="s">
        <v>301</v>
      </c>
      <c r="T75" s="29">
        <v>206.755</v>
      </c>
      <c r="U75" s="30">
        <f t="shared" si="0"/>
        <v>2.7098857426726131E-2</v>
      </c>
    </row>
    <row r="76" spans="1:21" ht="18.399999999999999" x14ac:dyDescent="0.45">
      <c r="A76" s="1">
        <v>1386</v>
      </c>
      <c r="B76" s="1" t="s">
        <v>290</v>
      </c>
      <c r="C76" s="2" t="s">
        <v>74</v>
      </c>
      <c r="D76" s="10">
        <v>9304</v>
      </c>
      <c r="G76" s="25">
        <v>9291</v>
      </c>
      <c r="H76" s="25"/>
      <c r="I76" s="25"/>
      <c r="L76" s="6">
        <v>37.5441</v>
      </c>
      <c r="M76" s="6">
        <v>0.53380000000000005</v>
      </c>
      <c r="N76" s="6"/>
      <c r="O76" s="25"/>
      <c r="P76" s="25"/>
      <c r="Q76" s="4"/>
      <c r="R76" s="4"/>
      <c r="S76" t="s">
        <v>301</v>
      </c>
      <c r="T76" s="29">
        <v>207.23400000000001</v>
      </c>
      <c r="U76" s="30">
        <f t="shared" si="0"/>
        <v>2.692765113974227E-2</v>
      </c>
    </row>
    <row r="77" spans="1:21" ht="18.399999999999999" x14ac:dyDescent="0.45">
      <c r="A77" s="1">
        <v>1386</v>
      </c>
      <c r="B77" s="1" t="s">
        <v>291</v>
      </c>
      <c r="C77" s="2" t="s">
        <v>75</v>
      </c>
      <c r="D77" s="10">
        <v>9324</v>
      </c>
      <c r="G77" s="25">
        <v>9104</v>
      </c>
      <c r="H77" s="25"/>
      <c r="I77" s="25"/>
      <c r="L77" s="6">
        <v>37.079000000000001</v>
      </c>
      <c r="M77" s="6">
        <v>0.41820000000000002</v>
      </c>
      <c r="N77" s="6"/>
      <c r="O77" s="25"/>
      <c r="P77" s="25"/>
      <c r="Q77" s="4"/>
      <c r="R77" s="4"/>
      <c r="S77" t="s">
        <v>301</v>
      </c>
      <c r="T77" s="29">
        <v>207.60300000000001</v>
      </c>
      <c r="U77" s="30">
        <f t="shared" si="0"/>
        <v>2.3178905864958077E-2</v>
      </c>
    </row>
    <row r="78" spans="1:21" ht="18.399999999999999" x14ac:dyDescent="0.45">
      <c r="A78" s="1">
        <v>1386</v>
      </c>
      <c r="B78" s="1" t="s">
        <v>292</v>
      </c>
      <c r="C78" s="2" t="s">
        <v>76</v>
      </c>
      <c r="D78" s="10">
        <v>9349</v>
      </c>
      <c r="G78" s="25">
        <v>9503</v>
      </c>
      <c r="H78" s="25"/>
      <c r="I78" s="25"/>
      <c r="L78" s="6">
        <v>39.448700000000002</v>
      </c>
      <c r="M78" s="6">
        <v>0.47370000000000001</v>
      </c>
      <c r="N78" s="6"/>
      <c r="O78" s="25"/>
      <c r="P78" s="25"/>
      <c r="Q78" s="4"/>
      <c r="R78" s="4"/>
      <c r="S78" t="s">
        <v>301</v>
      </c>
      <c r="T78" s="29">
        <v>207.667</v>
      </c>
      <c r="U78" s="30">
        <f t="shared" si="0"/>
        <v>1.8974484789008761E-2</v>
      </c>
    </row>
    <row r="79" spans="1:21" ht="18.399999999999999" x14ac:dyDescent="0.45">
      <c r="A79" s="1">
        <v>1386</v>
      </c>
      <c r="B79" s="1" t="s">
        <v>293</v>
      </c>
      <c r="C79" s="2" t="s">
        <v>77</v>
      </c>
      <c r="D79" s="10">
        <v>9369</v>
      </c>
      <c r="G79" s="25">
        <v>10149</v>
      </c>
      <c r="H79" s="25"/>
      <c r="I79" s="25"/>
      <c r="L79" s="6">
        <v>43.282299999999999</v>
      </c>
      <c r="M79" s="6">
        <v>0.50219999999999998</v>
      </c>
      <c r="N79" s="6"/>
      <c r="O79" s="25"/>
      <c r="P79" s="25"/>
      <c r="Q79" s="4"/>
      <c r="R79" s="4"/>
      <c r="S79" t="s">
        <v>301</v>
      </c>
      <c r="T79" s="29">
        <v>208.547</v>
      </c>
      <c r="U79" s="30">
        <f t="shared" si="0"/>
        <v>2.8338264299802685E-2</v>
      </c>
    </row>
    <row r="80" spans="1:21" ht="18.399999999999999" x14ac:dyDescent="0.45">
      <c r="A80" s="1">
        <v>1386</v>
      </c>
      <c r="B80" s="1" t="s">
        <v>294</v>
      </c>
      <c r="C80" s="2" t="s">
        <v>78</v>
      </c>
      <c r="D80" s="10">
        <v>9376</v>
      </c>
      <c r="G80" s="25">
        <v>10370</v>
      </c>
      <c r="H80" s="25"/>
      <c r="I80" s="25"/>
      <c r="L80" s="6">
        <v>44.530299999999997</v>
      </c>
      <c r="M80" s="6">
        <v>0.94650000000000001</v>
      </c>
      <c r="N80" s="6"/>
      <c r="O80" s="25"/>
      <c r="P80" s="25"/>
      <c r="Q80" s="4"/>
      <c r="R80" s="4"/>
      <c r="S80" t="s">
        <v>301</v>
      </c>
      <c r="T80" s="29">
        <v>209.19</v>
      </c>
      <c r="U80" s="30">
        <f t="shared" si="0"/>
        <v>3.610698365527476E-2</v>
      </c>
    </row>
    <row r="81" spans="1:21" ht="18.399999999999999" x14ac:dyDescent="0.45">
      <c r="A81" s="1">
        <v>1386</v>
      </c>
      <c r="B81" s="1" t="s">
        <v>295</v>
      </c>
      <c r="C81" s="2" t="s">
        <v>79</v>
      </c>
      <c r="D81" s="10">
        <v>9376</v>
      </c>
      <c r="G81" s="25">
        <v>9958.7999999999993</v>
      </c>
      <c r="H81" s="25"/>
      <c r="I81" s="25"/>
      <c r="L81" s="6">
        <v>43.162599999999998</v>
      </c>
      <c r="M81" s="6">
        <v>1.5550000000000002</v>
      </c>
      <c r="N81" s="6"/>
      <c r="O81" s="25"/>
      <c r="P81" s="25"/>
      <c r="Q81" s="4"/>
      <c r="R81" s="4"/>
      <c r="S81" t="s">
        <v>301</v>
      </c>
      <c r="T81" s="29">
        <v>210.834</v>
      </c>
      <c r="U81" s="30">
        <f t="shared" si="0"/>
        <v>4.373267326732666E-2</v>
      </c>
    </row>
    <row r="82" spans="1:21" ht="18.399999999999999" x14ac:dyDescent="0.45">
      <c r="A82" s="1">
        <v>1386</v>
      </c>
      <c r="B82" s="1" t="s">
        <v>296</v>
      </c>
      <c r="C82" s="2" t="s">
        <v>80</v>
      </c>
      <c r="D82" s="10">
        <v>9435</v>
      </c>
      <c r="G82" s="25">
        <v>9700</v>
      </c>
      <c r="H82" s="25"/>
      <c r="I82" s="25"/>
      <c r="L82" s="6">
        <v>42.131900000000002</v>
      </c>
      <c r="M82" s="6">
        <v>0.49759999999999999</v>
      </c>
      <c r="N82" s="6"/>
      <c r="O82" s="25"/>
      <c r="P82" s="25"/>
      <c r="Q82" s="4"/>
      <c r="R82" s="4"/>
      <c r="S82" t="s">
        <v>301</v>
      </c>
      <c r="T82" s="29">
        <v>211.44499999999999</v>
      </c>
      <c r="U82" s="30">
        <f t="shared" si="0"/>
        <v>4.1088133924175319E-2</v>
      </c>
    </row>
    <row r="83" spans="1:21" ht="18.399999999999999" x14ac:dyDescent="0.45">
      <c r="A83" s="1">
        <v>1386</v>
      </c>
      <c r="B83" s="1" t="s">
        <v>297</v>
      </c>
      <c r="C83" s="2" t="s">
        <v>81</v>
      </c>
      <c r="D83" s="10">
        <v>9430</v>
      </c>
      <c r="G83" s="25">
        <v>10232.6</v>
      </c>
      <c r="H83" s="25"/>
      <c r="I83" s="25"/>
      <c r="L83" s="6">
        <v>46.052</v>
      </c>
      <c r="M83" s="6">
        <v>0.41749999999999998</v>
      </c>
      <c r="N83" s="6"/>
      <c r="O83" s="25"/>
      <c r="P83" s="25"/>
      <c r="Q83" s="4"/>
      <c r="R83" s="4"/>
      <c r="S83" t="s">
        <v>301</v>
      </c>
      <c r="T83" s="29">
        <v>212.17400000000001</v>
      </c>
      <c r="U83" s="30">
        <f t="shared" si="0"/>
        <v>4.294695655165981E-2</v>
      </c>
    </row>
    <row r="84" spans="1:21" ht="18.399999999999999" x14ac:dyDescent="0.45">
      <c r="A84" s="1">
        <v>1386</v>
      </c>
      <c r="B84" s="1" t="s">
        <v>298</v>
      </c>
      <c r="C84" s="2" t="s">
        <v>82</v>
      </c>
      <c r="D84" s="10">
        <v>9399</v>
      </c>
      <c r="G84" s="25">
        <v>10029</v>
      </c>
      <c r="H84" s="25"/>
      <c r="I84" s="25"/>
      <c r="L84" s="6">
        <v>45.904199999999996</v>
      </c>
      <c r="M84" s="6">
        <v>0.55590000000000006</v>
      </c>
      <c r="N84" s="6"/>
      <c r="O84" s="25"/>
      <c r="P84" s="25"/>
      <c r="Q84" s="4"/>
      <c r="R84" s="4"/>
      <c r="S84" t="s">
        <v>301</v>
      </c>
      <c r="T84" s="29">
        <v>212.68700000000001</v>
      </c>
      <c r="U84" s="30">
        <f t="shared" si="0"/>
        <v>4.1429592706119678E-2</v>
      </c>
    </row>
    <row r="85" spans="1:21" ht="18.399999999999999" x14ac:dyDescent="0.45">
      <c r="A85" s="1">
        <v>1386</v>
      </c>
      <c r="B85" s="1" t="s">
        <v>299</v>
      </c>
      <c r="C85" s="2" t="s">
        <v>83</v>
      </c>
      <c r="D85" s="10">
        <v>9305</v>
      </c>
      <c r="G85" s="25">
        <v>10082</v>
      </c>
      <c r="H85" s="25"/>
      <c r="I85" s="25"/>
      <c r="L85" s="6">
        <v>46.257400000000004</v>
      </c>
      <c r="M85" s="6">
        <v>0.51760000000000006</v>
      </c>
      <c r="N85" s="6"/>
      <c r="O85" s="25"/>
      <c r="P85" s="25"/>
      <c r="Q85" s="4"/>
      <c r="R85" s="4"/>
      <c r="S85" t="s">
        <v>301</v>
      </c>
      <c r="T85" s="29">
        <v>213.44800000000001</v>
      </c>
      <c r="U85" s="30">
        <f t="shared" si="0"/>
        <v>3.9749035501344343E-2</v>
      </c>
    </row>
    <row r="86" spans="1:21" ht="18.399999999999999" x14ac:dyDescent="0.45">
      <c r="A86" s="1">
        <v>1387</v>
      </c>
      <c r="B86" s="1" t="s">
        <v>288</v>
      </c>
      <c r="C86" s="2" t="s">
        <v>84</v>
      </c>
      <c r="D86" s="10">
        <v>9191</v>
      </c>
      <c r="G86" s="25">
        <v>10152</v>
      </c>
      <c r="H86" s="25"/>
      <c r="I86" s="25"/>
      <c r="L86" s="6">
        <v>46.534500000000001</v>
      </c>
      <c r="M86" s="6">
        <v>1.7995999999999999</v>
      </c>
      <c r="N86" s="6"/>
      <c r="O86" s="25"/>
      <c r="P86" s="25"/>
      <c r="Q86" s="4"/>
      <c r="R86" s="4"/>
      <c r="S86" t="s">
        <v>301</v>
      </c>
      <c r="T86" s="29">
        <v>213.94200000000001</v>
      </c>
      <c r="U86" s="30">
        <f t="shared" si="0"/>
        <v>3.9037609759888126E-2</v>
      </c>
    </row>
    <row r="87" spans="1:21" ht="18.399999999999999" x14ac:dyDescent="0.45">
      <c r="A87" s="1">
        <v>1387</v>
      </c>
      <c r="B87" s="1" t="s">
        <v>289</v>
      </c>
      <c r="C87" s="2" t="s">
        <v>85</v>
      </c>
      <c r="D87" s="10">
        <v>9253</v>
      </c>
      <c r="G87" s="25">
        <v>10380</v>
      </c>
      <c r="H87" s="25"/>
      <c r="I87" s="25"/>
      <c r="L87" s="6">
        <v>48.796100000000003</v>
      </c>
      <c r="M87" s="6">
        <v>0.62660000000000005</v>
      </c>
      <c r="N87" s="6"/>
      <c r="O87" s="25"/>
      <c r="P87" s="25"/>
      <c r="Q87" s="4"/>
      <c r="R87" s="4"/>
      <c r="S87" t="s">
        <v>301</v>
      </c>
      <c r="T87" s="29">
        <v>215.208</v>
      </c>
      <c r="U87" s="30">
        <f t="shared" si="0"/>
        <v>4.088413823123993E-2</v>
      </c>
    </row>
    <row r="88" spans="1:21" ht="18.399999999999999" x14ac:dyDescent="0.45">
      <c r="A88" s="1">
        <v>1387</v>
      </c>
      <c r="B88" s="1" t="s">
        <v>290</v>
      </c>
      <c r="C88" s="2" t="s">
        <v>86</v>
      </c>
      <c r="D88" s="10">
        <v>9328</v>
      </c>
      <c r="G88" s="25">
        <v>11568</v>
      </c>
      <c r="H88" s="25"/>
      <c r="I88" s="25"/>
      <c r="L88" s="6">
        <v>54.405700000000003</v>
      </c>
      <c r="M88" s="6">
        <v>0.62180000000000002</v>
      </c>
      <c r="N88" s="6"/>
      <c r="O88" s="25"/>
      <c r="P88" s="25"/>
      <c r="Q88" s="4"/>
      <c r="R88" s="4"/>
      <c r="S88" t="s">
        <v>301</v>
      </c>
      <c r="T88" s="29">
        <v>217.46299999999999</v>
      </c>
      <c r="U88" s="30">
        <f t="shared" si="0"/>
        <v>4.9359661059478643E-2</v>
      </c>
    </row>
    <row r="89" spans="1:21" ht="18.399999999999999" x14ac:dyDescent="0.45">
      <c r="A89" s="1">
        <v>1387</v>
      </c>
      <c r="B89" s="1" t="s">
        <v>291</v>
      </c>
      <c r="C89" s="2" t="s">
        <v>87</v>
      </c>
      <c r="D89" s="10">
        <v>9307</v>
      </c>
      <c r="G89" s="25">
        <v>12669.9</v>
      </c>
      <c r="H89" s="25"/>
      <c r="I89" s="25"/>
      <c r="L89" s="6">
        <v>62.3506</v>
      </c>
      <c r="M89" s="6">
        <v>2.7513999999999998</v>
      </c>
      <c r="N89" s="6"/>
      <c r="O89" s="25"/>
      <c r="P89" s="25"/>
      <c r="Q89" s="4"/>
      <c r="R89" s="4"/>
      <c r="S89" t="s">
        <v>301</v>
      </c>
      <c r="T89" s="29">
        <v>219.01599999999999</v>
      </c>
      <c r="U89" s="30">
        <f t="shared" si="0"/>
        <v>5.4975120783418374E-2</v>
      </c>
    </row>
    <row r="90" spans="1:21" ht="18.399999999999999" x14ac:dyDescent="0.45">
      <c r="A90" s="1">
        <v>1387</v>
      </c>
      <c r="B90" s="1" t="s">
        <v>292</v>
      </c>
      <c r="C90" s="2" t="s">
        <v>88</v>
      </c>
      <c r="D90" s="10">
        <v>9436</v>
      </c>
      <c r="G90" s="25">
        <v>12215.1</v>
      </c>
      <c r="H90" s="25"/>
      <c r="I90" s="25"/>
      <c r="L90" s="6">
        <v>67.374600000000001</v>
      </c>
      <c r="M90" s="6">
        <v>2.7151000000000001</v>
      </c>
      <c r="N90" s="6"/>
      <c r="O90" s="25"/>
      <c r="P90" s="25"/>
      <c r="Q90" s="4"/>
      <c r="R90" s="4"/>
      <c r="S90" t="s">
        <v>301</v>
      </c>
      <c r="T90" s="29">
        <v>218.69</v>
      </c>
      <c r="U90" s="30">
        <f t="shared" si="0"/>
        <v>5.3080171620912386E-2</v>
      </c>
    </row>
    <row r="91" spans="1:21" ht="18.399999999999999" x14ac:dyDescent="0.45">
      <c r="A91" s="1">
        <v>1387</v>
      </c>
      <c r="B91" s="1" t="s">
        <v>293</v>
      </c>
      <c r="C91" s="2" t="s">
        <v>89</v>
      </c>
      <c r="D91" s="10">
        <v>9723</v>
      </c>
      <c r="G91" s="25">
        <v>11763</v>
      </c>
      <c r="H91" s="25"/>
      <c r="I91" s="25"/>
      <c r="L91" s="6">
        <v>65.1126</v>
      </c>
      <c r="M91" s="6">
        <v>1.6677</v>
      </c>
      <c r="N91" s="6"/>
      <c r="O91" s="25"/>
      <c r="P91" s="25"/>
      <c r="Q91" s="4"/>
      <c r="R91" s="4"/>
      <c r="S91" t="s">
        <v>301</v>
      </c>
      <c r="T91" s="29">
        <v>218.87700000000001</v>
      </c>
      <c r="U91" s="30">
        <f t="shared" si="0"/>
        <v>4.9533198751360752E-2</v>
      </c>
    </row>
    <row r="92" spans="1:21" ht="18.399999999999999" x14ac:dyDescent="0.45">
      <c r="A92" s="1">
        <v>1387</v>
      </c>
      <c r="B92" s="1" t="s">
        <v>294</v>
      </c>
      <c r="C92" s="2" t="s">
        <v>90</v>
      </c>
      <c r="D92" s="10">
        <v>9846</v>
      </c>
      <c r="G92" s="25">
        <v>10931</v>
      </c>
      <c r="H92" s="25"/>
      <c r="I92" s="25"/>
      <c r="L92" s="6">
        <v>60.674699999999994</v>
      </c>
      <c r="M92" s="6">
        <v>0.5998</v>
      </c>
      <c r="N92" s="6"/>
      <c r="O92" s="25"/>
      <c r="P92" s="25"/>
      <c r="Q92" s="4"/>
      <c r="R92" s="4"/>
      <c r="S92" t="s">
        <v>301</v>
      </c>
      <c r="T92" s="29">
        <v>216.995</v>
      </c>
      <c r="U92" s="30">
        <f t="shared" si="0"/>
        <v>3.7310578899565128E-2</v>
      </c>
    </row>
    <row r="93" spans="1:21" ht="18.399999999999999" x14ac:dyDescent="0.45">
      <c r="A93" s="1">
        <v>1387</v>
      </c>
      <c r="B93" s="1" t="s">
        <v>295</v>
      </c>
      <c r="C93" s="2" t="s">
        <v>91</v>
      </c>
      <c r="D93" s="10">
        <v>10274</v>
      </c>
      <c r="G93" s="25">
        <v>9895</v>
      </c>
      <c r="H93" s="25"/>
      <c r="I93" s="25"/>
      <c r="L93" s="6">
        <v>54.945500000000003</v>
      </c>
      <c r="M93" s="6">
        <v>1.3946999999999998</v>
      </c>
      <c r="N93" s="6"/>
      <c r="O93" s="25"/>
      <c r="P93" s="25"/>
      <c r="Q93" s="4"/>
      <c r="R93" s="4"/>
      <c r="S93" t="s">
        <v>301</v>
      </c>
      <c r="T93" s="29">
        <v>213.15299999999999</v>
      </c>
      <c r="U93" s="30">
        <f t="shared" si="0"/>
        <v>1.0999174706166848E-2</v>
      </c>
    </row>
    <row r="94" spans="1:21" ht="18.399999999999999" x14ac:dyDescent="0.45">
      <c r="A94" s="1">
        <v>1387</v>
      </c>
      <c r="B94" s="1" t="s">
        <v>296</v>
      </c>
      <c r="C94" s="2" t="s">
        <v>92</v>
      </c>
      <c r="D94" s="10">
        <v>10174</v>
      </c>
      <c r="G94" s="25">
        <v>8857.1</v>
      </c>
      <c r="H94" s="25"/>
      <c r="I94" s="25"/>
      <c r="L94" s="6">
        <v>49.321199999999997</v>
      </c>
      <c r="M94" s="6">
        <v>0.6512</v>
      </c>
      <c r="N94" s="6"/>
      <c r="O94" s="25"/>
      <c r="P94" s="25"/>
      <c r="Q94" s="4"/>
      <c r="R94" s="4"/>
      <c r="S94" t="s">
        <v>301</v>
      </c>
      <c r="T94" s="29">
        <v>211.398</v>
      </c>
      <c r="U94" s="30">
        <f t="shared" si="0"/>
        <v>-2.2228002553859039E-4</v>
      </c>
    </row>
    <row r="95" spans="1:21" ht="18.399999999999999" x14ac:dyDescent="0.45">
      <c r="A95" s="1">
        <v>1387</v>
      </c>
      <c r="B95" s="1" t="s">
        <v>297</v>
      </c>
      <c r="C95" s="2" t="s">
        <v>93</v>
      </c>
      <c r="D95" s="10">
        <v>9942</v>
      </c>
      <c r="G95" s="25">
        <v>8467.4</v>
      </c>
      <c r="H95" s="25"/>
      <c r="I95" s="25"/>
      <c r="L95" s="6">
        <v>46.896699999999996</v>
      </c>
      <c r="M95" s="6">
        <v>0.45640000000000003</v>
      </c>
      <c r="N95" s="6"/>
      <c r="O95" s="25"/>
      <c r="P95" s="25"/>
      <c r="Q95" s="4"/>
      <c r="R95" s="4"/>
      <c r="S95" t="s">
        <v>301</v>
      </c>
      <c r="T95" s="29">
        <v>211.93299999999999</v>
      </c>
      <c r="U95" s="30">
        <f t="shared" si="0"/>
        <v>-1.1358601902212717E-3</v>
      </c>
    </row>
    <row r="96" spans="1:21" ht="18.399999999999999" x14ac:dyDescent="0.45">
      <c r="A96" s="1">
        <v>1387</v>
      </c>
      <c r="B96" s="1" t="s">
        <v>298</v>
      </c>
      <c r="C96" s="2" t="s">
        <v>94</v>
      </c>
      <c r="D96" s="10">
        <v>9775</v>
      </c>
      <c r="G96" s="25">
        <v>8376.6</v>
      </c>
      <c r="H96" s="25"/>
      <c r="I96" s="25"/>
      <c r="L96" s="6">
        <v>47.2896</v>
      </c>
      <c r="M96" s="6">
        <v>0.16880000000000001</v>
      </c>
      <c r="N96" s="6"/>
      <c r="O96" s="25"/>
      <c r="P96" s="25"/>
      <c r="Q96" s="4"/>
      <c r="R96" s="4"/>
      <c r="S96" t="s">
        <v>301</v>
      </c>
      <c r="T96" s="29">
        <v>212.70500000000001</v>
      </c>
      <c r="U96" s="30">
        <f t="shared" si="0"/>
        <v>8.4631406715107715E-5</v>
      </c>
    </row>
    <row r="97" spans="1:21" ht="18.399999999999999" x14ac:dyDescent="0.45">
      <c r="A97" s="1">
        <v>1387</v>
      </c>
      <c r="B97" s="1" t="s">
        <v>299</v>
      </c>
      <c r="C97" s="2" t="s">
        <v>95</v>
      </c>
      <c r="D97" s="10">
        <v>9888</v>
      </c>
      <c r="G97" s="25">
        <v>7966.5</v>
      </c>
      <c r="H97" s="25"/>
      <c r="I97" s="25"/>
      <c r="L97" s="6">
        <v>44.895499999999998</v>
      </c>
      <c r="M97" s="6">
        <v>0.25979999999999998</v>
      </c>
      <c r="N97" s="6"/>
      <c r="O97" s="25"/>
      <c r="P97" s="25"/>
      <c r="Q97" s="4"/>
      <c r="R97" s="4"/>
      <c r="S97" t="s">
        <v>301</v>
      </c>
      <c r="T97" s="29">
        <v>212.495</v>
      </c>
      <c r="U97" s="30">
        <f t="shared" si="0"/>
        <v>-4.4647876766238381E-3</v>
      </c>
    </row>
    <row r="98" spans="1:21" ht="18.399999999999999" x14ac:dyDescent="0.45">
      <c r="A98" s="1">
        <v>1388</v>
      </c>
      <c r="B98" s="1" t="s">
        <v>288</v>
      </c>
      <c r="C98" s="2" t="s">
        <v>96</v>
      </c>
      <c r="D98" s="10">
        <v>9979</v>
      </c>
      <c r="G98" s="25">
        <v>8431.2000000000007</v>
      </c>
      <c r="H98" s="25"/>
      <c r="I98" s="25"/>
      <c r="L98" s="6">
        <v>47.349400000000003</v>
      </c>
      <c r="M98" s="6">
        <v>0.15489999999999998</v>
      </c>
      <c r="N98" s="6"/>
      <c r="O98" s="25"/>
      <c r="P98" s="25"/>
      <c r="Q98" s="4"/>
      <c r="R98" s="4"/>
      <c r="S98" t="s">
        <v>301</v>
      </c>
      <c r="T98" s="29">
        <v>212.709</v>
      </c>
      <c r="U98" s="30">
        <f t="shared" si="0"/>
        <v>-5.7632442437670628E-3</v>
      </c>
    </row>
    <row r="99" spans="1:21" ht="18.399999999999999" x14ac:dyDescent="0.45">
      <c r="A99" s="1">
        <v>1388</v>
      </c>
      <c r="B99" s="1" t="s">
        <v>289</v>
      </c>
      <c r="C99" s="2" t="s">
        <v>97</v>
      </c>
      <c r="D99" s="10">
        <v>9940</v>
      </c>
      <c r="G99" s="25">
        <v>9000.7999999999993</v>
      </c>
      <c r="H99" s="25"/>
      <c r="I99" s="25"/>
      <c r="L99" s="6">
        <v>51.962000000000003</v>
      </c>
      <c r="M99" s="6">
        <v>1.1243000000000001</v>
      </c>
      <c r="N99" s="6"/>
      <c r="O99" s="25"/>
      <c r="P99" s="25"/>
      <c r="Q99" s="4"/>
      <c r="R99" s="4"/>
      <c r="S99" t="s">
        <v>301</v>
      </c>
      <c r="T99" s="29">
        <v>213.02199999999999</v>
      </c>
      <c r="U99" s="30">
        <f t="shared" si="0"/>
        <v>-1.0157614958551719E-2</v>
      </c>
    </row>
    <row r="100" spans="1:21" ht="18.399999999999999" x14ac:dyDescent="0.45">
      <c r="A100" s="1">
        <v>1388</v>
      </c>
      <c r="B100" s="1" t="s">
        <v>290</v>
      </c>
      <c r="C100" s="2" t="s">
        <v>98</v>
      </c>
      <c r="D100" s="10">
        <v>9808</v>
      </c>
      <c r="G100" s="25">
        <v>9258.4</v>
      </c>
      <c r="H100" s="25"/>
      <c r="I100" s="25"/>
      <c r="L100" s="6">
        <v>54.142600000000002</v>
      </c>
      <c r="M100" s="6">
        <v>0.53220000000000001</v>
      </c>
      <c r="N100" s="6"/>
      <c r="O100" s="25"/>
      <c r="P100" s="25"/>
      <c r="Q100" s="4"/>
      <c r="R100" s="4"/>
      <c r="S100" t="s">
        <v>301</v>
      </c>
      <c r="T100" s="29">
        <v>214.79</v>
      </c>
      <c r="U100" s="30">
        <f t="shared" si="0"/>
        <v>-1.2291746182109153E-2</v>
      </c>
    </row>
    <row r="101" spans="1:21" ht="18.399999999999999" x14ac:dyDescent="0.45">
      <c r="A101" s="1">
        <v>1388</v>
      </c>
      <c r="B101" s="1" t="s">
        <v>291</v>
      </c>
      <c r="C101" s="2" t="s">
        <v>99</v>
      </c>
      <c r="D101" s="10">
        <v>9995</v>
      </c>
      <c r="G101" s="25">
        <v>9522.2000000000007</v>
      </c>
      <c r="H101" s="25"/>
      <c r="I101" s="25"/>
      <c r="L101" s="6">
        <v>52.050699999999992</v>
      </c>
      <c r="M101" s="6">
        <v>1.8353000000000002</v>
      </c>
      <c r="N101" s="6"/>
      <c r="O101" s="25"/>
      <c r="P101" s="25"/>
      <c r="Q101" s="4"/>
      <c r="R101" s="4"/>
      <c r="S101" t="s">
        <v>301</v>
      </c>
      <c r="T101" s="29">
        <v>214.726</v>
      </c>
      <c r="U101" s="30">
        <f t="shared" si="0"/>
        <v>-1.9587610037622771E-2</v>
      </c>
    </row>
    <row r="102" spans="1:21" ht="18.399999999999999" x14ac:dyDescent="0.45">
      <c r="A102" s="1">
        <v>1388</v>
      </c>
      <c r="B102" s="1" t="s">
        <v>292</v>
      </c>
      <c r="C102" s="2" t="s">
        <v>100</v>
      </c>
      <c r="D102" s="10">
        <v>10009</v>
      </c>
      <c r="G102" s="25">
        <v>10555.4</v>
      </c>
      <c r="H102" s="25"/>
      <c r="I102" s="25"/>
      <c r="L102" s="6">
        <v>55.2667</v>
      </c>
      <c r="M102" s="6">
        <v>0.66490000000000005</v>
      </c>
      <c r="N102" s="6"/>
      <c r="O102" s="25"/>
      <c r="P102" s="25"/>
      <c r="Q102" s="4"/>
      <c r="R102" s="4"/>
      <c r="S102" t="s">
        <v>301</v>
      </c>
      <c r="T102" s="29">
        <v>215.44499999999999</v>
      </c>
      <c r="U102" s="30">
        <f t="shared" si="0"/>
        <v>-1.4838355663267633E-2</v>
      </c>
    </row>
    <row r="103" spans="1:21" ht="18.399999999999999" x14ac:dyDescent="0.45">
      <c r="A103" s="1">
        <v>1388</v>
      </c>
      <c r="B103" s="1" t="s">
        <v>293</v>
      </c>
      <c r="C103" s="2" t="s">
        <v>101</v>
      </c>
      <c r="D103" s="10">
        <v>9959</v>
      </c>
      <c r="G103" s="25">
        <v>11479.8</v>
      </c>
      <c r="H103" s="25"/>
      <c r="I103" s="25"/>
      <c r="L103" s="6">
        <v>60.128900000000002</v>
      </c>
      <c r="M103" s="6">
        <v>1.2464</v>
      </c>
      <c r="N103" s="6"/>
      <c r="O103" s="25"/>
      <c r="P103" s="25"/>
      <c r="Q103" s="4"/>
      <c r="R103" s="4"/>
      <c r="S103" t="s">
        <v>301</v>
      </c>
      <c r="T103" s="29">
        <v>215.86099999999999</v>
      </c>
      <c r="U103" s="30">
        <f t="shared" si="0"/>
        <v>-1.3779428628864721E-2</v>
      </c>
    </row>
    <row r="104" spans="1:21" ht="18.399999999999999" x14ac:dyDescent="0.45">
      <c r="A104" s="1">
        <v>1388</v>
      </c>
      <c r="B104" s="1" t="s">
        <v>294</v>
      </c>
      <c r="C104" s="2" t="s">
        <v>102</v>
      </c>
      <c r="D104" s="10">
        <v>9935</v>
      </c>
      <c r="G104" s="25">
        <v>12176.3</v>
      </c>
      <c r="H104" s="25"/>
      <c r="I104" s="25">
        <v>107.5</v>
      </c>
      <c r="L104" s="6">
        <v>63.864599999999996</v>
      </c>
      <c r="M104" s="6">
        <v>1.0282</v>
      </c>
      <c r="N104" s="6"/>
      <c r="O104" s="25"/>
      <c r="P104" s="25"/>
      <c r="Q104" s="4"/>
      <c r="R104" s="4"/>
      <c r="S104" t="s">
        <v>301</v>
      </c>
      <c r="T104" s="29">
        <v>216.50899999999999</v>
      </c>
      <c r="U104" s="30">
        <f t="shared" si="0"/>
        <v>-2.2396829420033848E-3</v>
      </c>
    </row>
    <row r="105" spans="1:21" ht="18.399999999999999" x14ac:dyDescent="0.45">
      <c r="A105" s="1">
        <v>1388</v>
      </c>
      <c r="B105" s="1" t="s">
        <v>295</v>
      </c>
      <c r="C105" s="2" t="s">
        <v>103</v>
      </c>
      <c r="D105" s="10">
        <v>9950</v>
      </c>
      <c r="G105" s="25">
        <v>12086.7</v>
      </c>
      <c r="H105" s="25"/>
      <c r="I105" s="25">
        <v>102.5</v>
      </c>
      <c r="L105" s="6">
        <v>63.266800000000003</v>
      </c>
      <c r="M105" s="6">
        <v>8.9137000000000004</v>
      </c>
      <c r="N105" s="6"/>
      <c r="O105" s="25"/>
      <c r="P105" s="25"/>
      <c r="Q105" s="4"/>
      <c r="R105" s="4"/>
      <c r="S105" t="s">
        <v>301</v>
      </c>
      <c r="T105" s="29">
        <v>217.23400000000001</v>
      </c>
      <c r="U105" s="30">
        <f t="shared" si="0"/>
        <v>1.9145871744709275E-2</v>
      </c>
    </row>
    <row r="106" spans="1:21" ht="18.399999999999999" x14ac:dyDescent="0.45">
      <c r="A106" s="1">
        <v>1388</v>
      </c>
      <c r="B106" s="1" t="s">
        <v>296</v>
      </c>
      <c r="C106" s="2" t="s">
        <v>104</v>
      </c>
      <c r="D106" s="10">
        <v>10004</v>
      </c>
      <c r="G106" s="25">
        <v>11274.9</v>
      </c>
      <c r="H106" s="25"/>
      <c r="I106" s="25">
        <v>96.4</v>
      </c>
      <c r="L106" s="6">
        <v>58.991499999999995</v>
      </c>
      <c r="M106" s="6">
        <v>0.75860000000000005</v>
      </c>
      <c r="N106" s="6"/>
      <c r="O106" s="25"/>
      <c r="P106" s="25"/>
      <c r="Q106" s="4"/>
      <c r="R106" s="4"/>
      <c r="S106" t="s">
        <v>301</v>
      </c>
      <c r="T106" s="29">
        <v>217.34700000000001</v>
      </c>
      <c r="U106" s="30">
        <f t="shared" si="0"/>
        <v>2.8141231232083674E-2</v>
      </c>
    </row>
    <row r="107" spans="1:21" ht="18.399999999999999" x14ac:dyDescent="0.45">
      <c r="A107" s="1">
        <v>1388</v>
      </c>
      <c r="B107" s="1" t="s">
        <v>297</v>
      </c>
      <c r="C107" s="2" t="s">
        <v>105</v>
      </c>
      <c r="D107" s="10">
        <v>10037</v>
      </c>
      <c r="G107" s="25">
        <v>11569.2</v>
      </c>
      <c r="H107" s="25"/>
      <c r="I107" s="25">
        <v>92.1</v>
      </c>
      <c r="L107" s="6">
        <v>60.473800000000004</v>
      </c>
      <c r="M107" s="6">
        <v>0.45800000000000002</v>
      </c>
      <c r="N107" s="6"/>
      <c r="O107" s="25"/>
      <c r="P107" s="25"/>
      <c r="Q107" s="4"/>
      <c r="R107" s="4"/>
      <c r="S107" t="s">
        <v>301</v>
      </c>
      <c r="T107" s="29">
        <v>217.488</v>
      </c>
      <c r="U107" s="30">
        <f t="shared" si="0"/>
        <v>2.6211113889767157E-2</v>
      </c>
    </row>
    <row r="108" spans="1:21" ht="18.399999999999999" x14ac:dyDescent="0.45">
      <c r="A108" s="1">
        <v>1388</v>
      </c>
      <c r="B108" s="1" t="s">
        <v>298</v>
      </c>
      <c r="C108" s="2" t="s">
        <v>106</v>
      </c>
      <c r="D108" s="10">
        <v>10103</v>
      </c>
      <c r="G108" s="25">
        <v>11774.2</v>
      </c>
      <c r="H108" s="25"/>
      <c r="I108" s="25">
        <v>90.6</v>
      </c>
      <c r="L108" s="6">
        <v>61.391200000000005</v>
      </c>
      <c r="M108" s="6">
        <v>0.46925</v>
      </c>
      <c r="N108" s="6"/>
      <c r="O108" s="25"/>
      <c r="P108" s="25"/>
      <c r="Q108" s="4"/>
      <c r="R108" s="4"/>
      <c r="S108" t="s">
        <v>301</v>
      </c>
      <c r="T108" s="29">
        <v>217.28100000000001</v>
      </c>
      <c r="U108" s="30">
        <f t="shared" si="0"/>
        <v>2.151336357866529E-2</v>
      </c>
    </row>
    <row r="109" spans="1:21" ht="18.399999999999999" x14ac:dyDescent="0.45">
      <c r="A109" s="1">
        <v>1388</v>
      </c>
      <c r="B109" s="1" t="s">
        <v>299</v>
      </c>
      <c r="C109" s="2" t="s">
        <v>107</v>
      </c>
      <c r="D109" s="10">
        <v>10052</v>
      </c>
      <c r="G109" s="25">
        <v>12536.7</v>
      </c>
      <c r="H109" s="25"/>
      <c r="I109" s="25">
        <v>148.80000000000001</v>
      </c>
      <c r="L109" s="6">
        <v>65.142870000000002</v>
      </c>
      <c r="M109" s="6">
        <v>1.2310000000000001</v>
      </c>
      <c r="N109" s="6"/>
      <c r="O109" s="25"/>
      <c r="P109" s="25"/>
      <c r="Q109" s="4"/>
      <c r="R109" s="4"/>
      <c r="S109" t="s">
        <v>301</v>
      </c>
      <c r="T109" s="29">
        <v>217.35300000000001</v>
      </c>
      <c r="U109" s="30">
        <f t="shared" si="0"/>
        <v>2.2861714393279886E-2</v>
      </c>
    </row>
    <row r="110" spans="1:21" ht="18.399999999999999" x14ac:dyDescent="0.45">
      <c r="A110" s="1">
        <v>1389</v>
      </c>
      <c r="B110" s="1" t="s">
        <v>288</v>
      </c>
      <c r="C110" s="2" t="s">
        <v>108</v>
      </c>
      <c r="D110" s="10">
        <v>10044</v>
      </c>
      <c r="G110" s="25">
        <v>14185.7</v>
      </c>
      <c r="H110" s="25"/>
      <c r="I110" s="25">
        <v>120.3</v>
      </c>
      <c r="L110" s="6">
        <v>73.848600000000005</v>
      </c>
      <c r="M110" s="6">
        <v>1.0676000000000001</v>
      </c>
      <c r="N110" s="6"/>
      <c r="O110" s="25"/>
      <c r="P110" s="25"/>
      <c r="Q110" s="4"/>
      <c r="R110" s="4"/>
      <c r="S110" t="s">
        <v>301</v>
      </c>
      <c r="T110" s="29">
        <v>217.40299999999999</v>
      </c>
      <c r="U110" s="30">
        <f t="shared" si="0"/>
        <v>2.2067707525304403E-2</v>
      </c>
    </row>
    <row r="111" spans="1:21" ht="18.399999999999999" x14ac:dyDescent="0.45">
      <c r="A111" s="1">
        <v>1389</v>
      </c>
      <c r="B111" s="1" t="s">
        <v>289</v>
      </c>
      <c r="C111" s="2" t="s">
        <v>109</v>
      </c>
      <c r="D111" s="10">
        <v>10255</v>
      </c>
      <c r="G111" s="25">
        <v>14155.6</v>
      </c>
      <c r="H111" s="25"/>
      <c r="I111" s="25">
        <v>133.1</v>
      </c>
      <c r="L111" s="6">
        <v>73.387699999999995</v>
      </c>
      <c r="M111" s="6">
        <v>1.8041</v>
      </c>
      <c r="N111" s="6"/>
      <c r="O111" s="25"/>
      <c r="P111" s="25"/>
      <c r="Q111" s="4"/>
      <c r="R111" s="4"/>
      <c r="S111" t="s">
        <v>301</v>
      </c>
      <c r="T111" s="29">
        <v>217.29</v>
      </c>
      <c r="U111" s="30">
        <f t="shared" si="0"/>
        <v>2.0035489292185682E-2</v>
      </c>
    </row>
    <row r="112" spans="1:21" ht="18.399999999999999" x14ac:dyDescent="0.45">
      <c r="A112" s="1">
        <v>1389</v>
      </c>
      <c r="B112" s="1" t="s">
        <v>290</v>
      </c>
      <c r="C112" s="2" t="s">
        <v>110</v>
      </c>
      <c r="D112" s="10">
        <v>10463</v>
      </c>
      <c r="G112" s="25">
        <v>14257</v>
      </c>
      <c r="H112" s="25"/>
      <c r="I112" s="25">
        <v>148.80000000000001</v>
      </c>
      <c r="L112" s="6">
        <v>71.044299999999993</v>
      </c>
      <c r="M112" s="6">
        <v>3.5155000000000003</v>
      </c>
      <c r="N112" s="6"/>
      <c r="O112" s="25"/>
      <c r="P112" s="25"/>
      <c r="Q112" s="4"/>
      <c r="R112" s="4"/>
      <c r="S112" t="s">
        <v>301</v>
      </c>
      <c r="T112" s="29">
        <v>217.19900000000001</v>
      </c>
      <c r="U112" s="30">
        <f t="shared" si="0"/>
        <v>1.1215605940686268E-2</v>
      </c>
    </row>
    <row r="113" spans="1:21" ht="18.399999999999999" x14ac:dyDescent="0.45">
      <c r="A113" s="1">
        <v>1389</v>
      </c>
      <c r="B113" s="1" t="s">
        <v>291</v>
      </c>
      <c r="C113" s="2" t="s">
        <v>111</v>
      </c>
      <c r="D113" s="10">
        <v>10470</v>
      </c>
      <c r="G113" s="25">
        <v>15360.7</v>
      </c>
      <c r="H113" s="25"/>
      <c r="I113" s="25">
        <v>146.80000000000001</v>
      </c>
      <c r="L113" s="6">
        <v>73.179999999999993</v>
      </c>
      <c r="M113" s="6">
        <v>1.2621</v>
      </c>
      <c r="N113" s="6"/>
      <c r="O113" s="25"/>
      <c r="P113" s="25"/>
      <c r="Q113" s="4"/>
      <c r="R113" s="4"/>
      <c r="S113" t="s">
        <v>301</v>
      </c>
      <c r="T113" s="29">
        <v>217.60499999999999</v>
      </c>
      <c r="U113" s="30">
        <f t="shared" si="0"/>
        <v>1.3407784804821077E-2</v>
      </c>
    </row>
    <row r="114" spans="1:21" ht="18.399999999999999" x14ac:dyDescent="0.45">
      <c r="A114" s="1">
        <v>1389</v>
      </c>
      <c r="B114" s="1" t="s">
        <v>292</v>
      </c>
      <c r="C114" s="2" t="s">
        <v>112</v>
      </c>
      <c r="D114" s="10">
        <v>10547</v>
      </c>
      <c r="G114" s="25">
        <v>16957.599999999999</v>
      </c>
      <c r="H114" s="25"/>
      <c r="I114" s="25">
        <v>166.8</v>
      </c>
      <c r="L114" s="6">
        <v>79.902299999999997</v>
      </c>
      <c r="M114" s="6">
        <v>1.0733000000000001</v>
      </c>
      <c r="N114" s="6"/>
      <c r="O114" s="25"/>
      <c r="P114" s="25"/>
      <c r="Q114" s="4"/>
      <c r="R114" s="4"/>
      <c r="S114" t="s">
        <v>301</v>
      </c>
      <c r="T114" s="29">
        <v>217.923</v>
      </c>
      <c r="U114" s="30">
        <f t="shared" si="0"/>
        <v>1.1501775395112546E-2</v>
      </c>
    </row>
    <row r="115" spans="1:21" ht="18.399999999999999" x14ac:dyDescent="0.45">
      <c r="A115" s="1">
        <v>1389</v>
      </c>
      <c r="B115" s="1" t="s">
        <v>293</v>
      </c>
      <c r="C115" s="2" t="s">
        <v>113</v>
      </c>
      <c r="D115" s="10">
        <v>10552</v>
      </c>
      <c r="G115" s="25">
        <v>18548.599999999999</v>
      </c>
      <c r="H115" s="25"/>
      <c r="I115" s="25">
        <v>182.7</v>
      </c>
      <c r="L115" s="6">
        <v>87.514800000000008</v>
      </c>
      <c r="M115" s="6">
        <v>3.2490000000000001</v>
      </c>
      <c r="N115" s="6"/>
      <c r="O115" s="25"/>
      <c r="P115" s="25"/>
      <c r="Q115" s="4"/>
      <c r="R115" s="4"/>
      <c r="S115" t="s">
        <v>301</v>
      </c>
      <c r="T115" s="29">
        <v>218.27500000000001</v>
      </c>
      <c r="U115" s="30">
        <f t="shared" si="0"/>
        <v>1.1183122472331775E-2</v>
      </c>
    </row>
    <row r="116" spans="1:21" ht="18.399999999999999" x14ac:dyDescent="0.45">
      <c r="A116" s="1">
        <v>1389</v>
      </c>
      <c r="B116" s="1" t="s">
        <v>294</v>
      </c>
      <c r="C116" s="2" t="s">
        <v>114</v>
      </c>
      <c r="D116" s="10">
        <v>10918</v>
      </c>
      <c r="G116" s="25">
        <v>18229.5</v>
      </c>
      <c r="H116" s="25"/>
      <c r="I116" s="25">
        <v>189</v>
      </c>
      <c r="L116" s="6">
        <v>85.997900000000001</v>
      </c>
      <c r="M116" s="6">
        <v>1.7989999999999999</v>
      </c>
      <c r="N116" s="6"/>
      <c r="O116" s="25"/>
      <c r="P116" s="25"/>
      <c r="Q116" s="4"/>
      <c r="R116" s="4"/>
      <c r="S116" t="s">
        <v>301</v>
      </c>
      <c r="T116" s="29">
        <v>219.035</v>
      </c>
      <c r="U116" s="30">
        <f t="shared" si="0"/>
        <v>1.1666951489314625E-2</v>
      </c>
    </row>
    <row r="117" spans="1:21" ht="18.399999999999999" x14ac:dyDescent="0.45">
      <c r="A117" s="1">
        <v>1389</v>
      </c>
      <c r="B117" s="1" t="s">
        <v>295</v>
      </c>
      <c r="C117" s="2" t="s">
        <v>115</v>
      </c>
      <c r="D117" s="10">
        <v>10670</v>
      </c>
      <c r="G117" s="25">
        <v>18133.7</v>
      </c>
      <c r="H117" s="25"/>
      <c r="I117" s="25">
        <v>188</v>
      </c>
      <c r="L117" s="6">
        <v>86.307000000000002</v>
      </c>
      <c r="M117" s="6">
        <v>1.8628</v>
      </c>
      <c r="N117" s="6"/>
      <c r="O117" s="25"/>
      <c r="P117" s="25"/>
      <c r="Q117" s="4"/>
      <c r="R117" s="4"/>
      <c r="S117" t="s">
        <v>301</v>
      </c>
      <c r="T117" s="29">
        <v>219.59</v>
      </c>
      <c r="U117" s="30">
        <f t="shared" si="0"/>
        <v>1.084544776600338E-2</v>
      </c>
    </row>
    <row r="118" spans="1:21" ht="18.399999999999999" x14ac:dyDescent="0.45">
      <c r="A118" s="1">
        <v>1389</v>
      </c>
      <c r="B118" s="1" t="s">
        <v>296</v>
      </c>
      <c r="C118" s="2" t="s">
        <v>116</v>
      </c>
      <c r="D118" s="10">
        <v>10606</v>
      </c>
      <c r="G118" s="25">
        <v>18353.099999999999</v>
      </c>
      <c r="H118" s="25"/>
      <c r="I118" s="25">
        <v>194.6</v>
      </c>
      <c r="L118" s="6">
        <v>87.352900000000005</v>
      </c>
      <c r="M118" s="6">
        <v>1.7655999999999998</v>
      </c>
      <c r="N118" s="6"/>
      <c r="O118" s="25"/>
      <c r="P118" s="25"/>
      <c r="Q118" s="4"/>
      <c r="R118" s="4"/>
      <c r="S118" t="s">
        <v>301</v>
      </c>
      <c r="T118" s="29">
        <v>220.47200000000001</v>
      </c>
      <c r="U118" s="30">
        <f t="shared" si="0"/>
        <v>1.4377930222179369E-2</v>
      </c>
    </row>
    <row r="119" spans="1:21" ht="18.399999999999999" x14ac:dyDescent="0.45">
      <c r="A119" s="1">
        <v>1389</v>
      </c>
      <c r="B119" s="1" t="s">
        <v>297</v>
      </c>
      <c r="C119" s="2" t="s">
        <v>117</v>
      </c>
      <c r="D119" s="10">
        <v>10797</v>
      </c>
      <c r="G119" s="25">
        <v>20206.599999999999</v>
      </c>
      <c r="H119" s="25"/>
      <c r="I119" s="25">
        <v>206.8</v>
      </c>
      <c r="L119" s="6">
        <v>96.004199999999997</v>
      </c>
      <c r="M119" s="6">
        <v>1.3325</v>
      </c>
      <c r="N119" s="6"/>
      <c r="O119" s="25"/>
      <c r="P119" s="25"/>
      <c r="Q119" s="4"/>
      <c r="R119" s="4"/>
      <c r="S119" t="s">
        <v>301</v>
      </c>
      <c r="T119" s="29">
        <v>221.18700000000001</v>
      </c>
      <c r="U119" s="30">
        <f t="shared" si="0"/>
        <v>1.7007834915029774E-2</v>
      </c>
    </row>
    <row r="120" spans="1:21" ht="18.399999999999999" x14ac:dyDescent="0.45">
      <c r="A120" s="1">
        <v>1389</v>
      </c>
      <c r="B120" s="1" t="s">
        <v>298</v>
      </c>
      <c r="C120" s="2" t="s">
        <v>118</v>
      </c>
      <c r="D120" s="10">
        <v>10894</v>
      </c>
      <c r="G120" s="25">
        <v>22090.3</v>
      </c>
      <c r="H120" s="25"/>
      <c r="I120" s="25">
        <v>210.2</v>
      </c>
      <c r="L120" s="6">
        <v>105.6614</v>
      </c>
      <c r="M120" s="6">
        <v>1.2981</v>
      </c>
      <c r="N120" s="6"/>
      <c r="O120" s="25"/>
      <c r="P120" s="25"/>
      <c r="Q120" s="4"/>
      <c r="R120" s="4"/>
      <c r="S120" t="s">
        <v>301</v>
      </c>
      <c r="T120" s="29">
        <v>221.898</v>
      </c>
      <c r="U120" s="30">
        <f t="shared" si="0"/>
        <v>2.1248981733331451E-2</v>
      </c>
    </row>
    <row r="121" spans="1:21" ht="18.399999999999999" x14ac:dyDescent="0.45">
      <c r="A121" s="1">
        <v>1389</v>
      </c>
      <c r="B121" s="1" t="s">
        <v>299</v>
      </c>
      <c r="C121" s="2" t="s">
        <v>119</v>
      </c>
      <c r="D121" s="10">
        <v>11068</v>
      </c>
      <c r="G121" s="25">
        <v>23294.9</v>
      </c>
      <c r="H121" s="25"/>
      <c r="I121" s="25">
        <v>254.3</v>
      </c>
      <c r="L121" s="6">
        <v>111.56359999999999</v>
      </c>
      <c r="M121" s="6">
        <v>1.7757999999999998</v>
      </c>
      <c r="N121" s="6"/>
      <c r="O121" s="25"/>
      <c r="P121" s="25"/>
      <c r="Q121" s="4"/>
      <c r="R121" s="4"/>
      <c r="S121" t="s">
        <v>301</v>
      </c>
      <c r="T121" s="29">
        <v>223.04599999999999</v>
      </c>
      <c r="U121" s="30">
        <f t="shared" si="0"/>
        <v>2.6192415103541089E-2</v>
      </c>
    </row>
    <row r="122" spans="1:21" ht="18.399999999999999" x14ac:dyDescent="0.45">
      <c r="A122" s="1">
        <v>1390</v>
      </c>
      <c r="B122" s="1" t="s">
        <v>288</v>
      </c>
      <c r="C122" s="2" t="s">
        <v>120</v>
      </c>
      <c r="D122" s="10">
        <v>11188</v>
      </c>
      <c r="G122" s="25">
        <v>26481.5</v>
      </c>
      <c r="H122" s="25"/>
      <c r="I122" s="25">
        <v>272.3</v>
      </c>
      <c r="L122" s="6">
        <v>127.13730000000001</v>
      </c>
      <c r="M122" s="6">
        <v>2.5522999999999998</v>
      </c>
      <c r="N122" s="6"/>
      <c r="O122" s="25"/>
      <c r="P122" s="25"/>
      <c r="Q122" s="4"/>
      <c r="R122" s="4"/>
      <c r="S122" t="s">
        <v>301</v>
      </c>
      <c r="T122" s="29">
        <v>224.09299999999999</v>
      </c>
      <c r="U122" s="30">
        <f t="shared" si="0"/>
        <v>3.0772344447868694E-2</v>
      </c>
    </row>
    <row r="123" spans="1:21" ht="18.399999999999999" x14ac:dyDescent="0.45">
      <c r="A123" s="1">
        <v>1390</v>
      </c>
      <c r="B123" s="1" t="s">
        <v>289</v>
      </c>
      <c r="C123" s="2" t="s">
        <v>121</v>
      </c>
      <c r="D123" s="10">
        <v>11491</v>
      </c>
      <c r="G123" s="25">
        <v>26155.599999999999</v>
      </c>
      <c r="H123" s="25"/>
      <c r="I123" s="25">
        <v>262.5</v>
      </c>
      <c r="L123" s="6">
        <v>122.87780000000001</v>
      </c>
      <c r="M123" s="6">
        <v>1.9632999999999998</v>
      </c>
      <c r="N123" s="6"/>
      <c r="O123" s="25"/>
      <c r="P123" s="25"/>
      <c r="Q123" s="4"/>
      <c r="R123" s="4"/>
      <c r="S123" t="s">
        <v>301</v>
      </c>
      <c r="T123" s="29">
        <v>224.80600000000001</v>
      </c>
      <c r="U123" s="30">
        <f t="shared" si="0"/>
        <v>3.4589718808964998E-2</v>
      </c>
    </row>
    <row r="124" spans="1:21" ht="18.399999999999999" x14ac:dyDescent="0.45">
      <c r="A124" s="1">
        <v>1390</v>
      </c>
      <c r="B124" s="1" t="s">
        <v>290</v>
      </c>
      <c r="C124" s="2" t="s">
        <v>122</v>
      </c>
      <c r="D124" s="10">
        <v>11888</v>
      </c>
      <c r="G124" s="25">
        <v>25181.599999999999</v>
      </c>
      <c r="H124" s="25"/>
      <c r="I124" s="25">
        <v>261.7</v>
      </c>
      <c r="L124" s="6">
        <v>115.46679999999999</v>
      </c>
      <c r="M124" s="6">
        <v>2.0872999999999999</v>
      </c>
      <c r="N124" s="6"/>
      <c r="O124" s="25"/>
      <c r="P124" s="25"/>
      <c r="Q124" s="4"/>
      <c r="R124" s="4"/>
      <c r="S124" t="s">
        <v>301</v>
      </c>
      <c r="T124" s="29">
        <v>224.80600000000001</v>
      </c>
      <c r="U124" s="30">
        <f t="shared" si="0"/>
        <v>3.5023181506360412E-2</v>
      </c>
    </row>
    <row r="125" spans="1:21" ht="18.399999999999999" x14ac:dyDescent="0.45">
      <c r="A125" s="1">
        <v>1390</v>
      </c>
      <c r="B125" s="1" t="s">
        <v>291</v>
      </c>
      <c r="C125" s="2" t="s">
        <v>123</v>
      </c>
      <c r="D125" s="10">
        <v>11499</v>
      </c>
      <c r="G125" s="25">
        <v>24602</v>
      </c>
      <c r="H125" s="25"/>
      <c r="I125" s="25">
        <v>259.5</v>
      </c>
      <c r="L125" s="6">
        <v>110.21110000000002</v>
      </c>
      <c r="M125" s="6">
        <v>2.5484</v>
      </c>
      <c r="N125" s="6"/>
      <c r="O125" s="25"/>
      <c r="P125" s="25"/>
      <c r="Q125" s="4"/>
      <c r="R125" s="4"/>
      <c r="S125" t="s">
        <v>301</v>
      </c>
      <c r="T125" s="29">
        <v>225.39500000000001</v>
      </c>
      <c r="U125" s="30">
        <f t="shared" si="0"/>
        <v>3.5798809769996165E-2</v>
      </c>
    </row>
    <row r="126" spans="1:21" ht="18.399999999999999" x14ac:dyDescent="0.45">
      <c r="A126" s="1">
        <v>1390</v>
      </c>
      <c r="B126" s="1" t="s">
        <v>292</v>
      </c>
      <c r="C126" s="2" t="s">
        <v>124</v>
      </c>
      <c r="D126" s="10">
        <v>11515</v>
      </c>
      <c r="G126" s="25">
        <v>25217</v>
      </c>
      <c r="H126" s="25"/>
      <c r="I126" s="25">
        <v>266.3</v>
      </c>
      <c r="L126" s="6">
        <v>118.3484</v>
      </c>
      <c r="M126" s="6">
        <v>1.4624000000000001</v>
      </c>
      <c r="N126" s="6"/>
      <c r="O126" s="25"/>
      <c r="P126" s="25"/>
      <c r="Q126" s="4"/>
      <c r="R126" s="4"/>
      <c r="S126" t="s">
        <v>301</v>
      </c>
      <c r="T126" s="29">
        <v>226.10599999999999</v>
      </c>
      <c r="U126" s="30">
        <f t="shared" si="0"/>
        <v>3.7549960307080799E-2</v>
      </c>
    </row>
    <row r="127" spans="1:21" ht="18.399999999999999" x14ac:dyDescent="0.45">
      <c r="A127" s="1">
        <v>1390</v>
      </c>
      <c r="B127" s="1" t="s">
        <v>293</v>
      </c>
      <c r="C127" s="2" t="s">
        <v>125</v>
      </c>
      <c r="D127" s="10">
        <v>12339</v>
      </c>
      <c r="G127" s="25">
        <v>26962.2</v>
      </c>
      <c r="H127" s="25"/>
      <c r="I127" s="25">
        <v>288</v>
      </c>
      <c r="L127" s="6">
        <v>128.39580000000001</v>
      </c>
      <c r="M127" s="6">
        <v>2.0562</v>
      </c>
      <c r="N127" s="6"/>
      <c r="O127" s="25"/>
      <c r="P127" s="25"/>
      <c r="Q127" s="4"/>
      <c r="R127" s="4"/>
      <c r="S127" t="s">
        <v>301</v>
      </c>
      <c r="T127" s="29">
        <v>226.59700000000001</v>
      </c>
      <c r="U127" s="30">
        <f t="shared" si="0"/>
        <v>3.8126216928186851E-2</v>
      </c>
    </row>
    <row r="128" spans="1:21" ht="18.399999999999999" x14ac:dyDescent="0.45">
      <c r="A128" s="1">
        <v>1390</v>
      </c>
      <c r="B128" s="1" t="s">
        <v>294</v>
      </c>
      <c r="C128" s="2" t="s">
        <v>126</v>
      </c>
      <c r="D128" s="10">
        <v>12521</v>
      </c>
      <c r="G128" s="25">
        <v>26150.799999999999</v>
      </c>
      <c r="H128" s="25"/>
      <c r="I128" s="25">
        <v>289.7</v>
      </c>
      <c r="L128" s="6">
        <v>124.52439999999999</v>
      </c>
      <c r="M128" s="6">
        <v>1.7625</v>
      </c>
      <c r="N128" s="6"/>
      <c r="O128" s="25"/>
      <c r="P128" s="25"/>
      <c r="Q128" s="4"/>
      <c r="R128" s="4"/>
      <c r="S128" t="s">
        <v>301</v>
      </c>
      <c r="T128" s="29">
        <v>226.75</v>
      </c>
      <c r="U128" s="30">
        <f t="shared" si="0"/>
        <v>3.5222681306640524E-2</v>
      </c>
    </row>
    <row r="129" spans="1:21" ht="18.399999999999999" x14ac:dyDescent="0.45">
      <c r="A129" s="1">
        <v>1390</v>
      </c>
      <c r="B129" s="1" t="s">
        <v>295</v>
      </c>
      <c r="C129" s="2" t="s">
        <v>127</v>
      </c>
      <c r="D129" s="10">
        <v>13169</v>
      </c>
      <c r="G129" s="25">
        <v>25207.200000000001</v>
      </c>
      <c r="H129" s="25"/>
      <c r="I129" s="25">
        <v>283</v>
      </c>
      <c r="L129" s="6">
        <v>120.3433</v>
      </c>
      <c r="M129" s="6">
        <v>1.121</v>
      </c>
      <c r="N129" s="6"/>
      <c r="O129" s="25"/>
      <c r="P129" s="25"/>
      <c r="Q129" s="4"/>
      <c r="R129" s="4"/>
      <c r="S129" t="s">
        <v>301</v>
      </c>
      <c r="T129" s="29">
        <v>227.16900000000001</v>
      </c>
      <c r="U129" s="30">
        <f t="shared" si="0"/>
        <v>3.4514322145817289E-2</v>
      </c>
    </row>
    <row r="130" spans="1:21" ht="18.399999999999999" x14ac:dyDescent="0.45">
      <c r="A130" s="1">
        <v>1390</v>
      </c>
      <c r="B130" s="1" t="s">
        <v>296</v>
      </c>
      <c r="C130" s="2" t="s">
        <v>128</v>
      </c>
      <c r="D130" s="10">
        <v>13715</v>
      </c>
      <c r="G130" s="25">
        <v>24494</v>
      </c>
      <c r="H130" s="25"/>
      <c r="I130" s="25">
        <v>274.39999999999998</v>
      </c>
      <c r="L130" s="6">
        <v>120.2517</v>
      </c>
      <c r="M130" s="6">
        <v>1.1507999999999998</v>
      </c>
      <c r="N130" s="6"/>
      <c r="O130" s="25"/>
      <c r="P130" s="25"/>
      <c r="Q130" s="4"/>
      <c r="R130" s="4"/>
      <c r="S130" t="s">
        <v>301</v>
      </c>
      <c r="T130" s="29">
        <v>227.22300000000001</v>
      </c>
      <c r="U130" s="30">
        <f t="shared" si="0"/>
        <v>3.0620668384193861E-2</v>
      </c>
    </row>
    <row r="131" spans="1:21" ht="18.399999999999999" x14ac:dyDescent="0.45">
      <c r="A131" s="1">
        <v>1390</v>
      </c>
      <c r="B131" s="1" t="s">
        <v>297</v>
      </c>
      <c r="C131" s="2" t="s">
        <v>129</v>
      </c>
      <c r="D131" s="10">
        <v>16117</v>
      </c>
      <c r="G131" s="25">
        <v>25811.200000000001</v>
      </c>
      <c r="H131" s="25"/>
      <c r="I131" s="25">
        <v>294.60000000000002</v>
      </c>
      <c r="L131" s="6">
        <v>126.57989999999999</v>
      </c>
      <c r="M131" s="6">
        <v>1.8885999999999998</v>
      </c>
      <c r="N131" s="6"/>
      <c r="O131" s="25"/>
      <c r="P131" s="25"/>
      <c r="Q131" s="4"/>
      <c r="R131" s="4"/>
      <c r="S131" t="s">
        <v>301</v>
      </c>
      <c r="T131" s="29">
        <v>227.84200000000001</v>
      </c>
      <c r="U131" s="30">
        <f t="shared" si="0"/>
        <v>3.0087663379855023E-2</v>
      </c>
    </row>
    <row r="132" spans="1:21" ht="18.399999999999999" x14ac:dyDescent="0.45">
      <c r="A132" s="1">
        <v>1390</v>
      </c>
      <c r="B132" s="1" t="s">
        <v>298</v>
      </c>
      <c r="C132" s="2" t="s">
        <v>130</v>
      </c>
      <c r="D132" s="10">
        <v>18777</v>
      </c>
      <c r="G132" s="25">
        <v>24878.3</v>
      </c>
      <c r="H132" s="25"/>
      <c r="I132" s="25">
        <v>283.3</v>
      </c>
      <c r="L132" s="6">
        <v>124.21729999999999</v>
      </c>
      <c r="M132" s="6">
        <v>1.4498</v>
      </c>
      <c r="N132" s="6"/>
      <c r="O132" s="25"/>
      <c r="P132" s="25"/>
      <c r="Q132" s="4"/>
      <c r="R132" s="4"/>
      <c r="S132" t="s">
        <v>301</v>
      </c>
      <c r="T132" s="29">
        <v>228.32900000000001</v>
      </c>
      <c r="U132" s="30">
        <f t="shared" si="0"/>
        <v>2.8981784423473878E-2</v>
      </c>
    </row>
    <row r="133" spans="1:21" ht="18.399999999999999" x14ac:dyDescent="0.45">
      <c r="A133" s="1">
        <v>1390</v>
      </c>
      <c r="B133" s="1" t="s">
        <v>299</v>
      </c>
      <c r="C133" s="2" t="s">
        <v>131</v>
      </c>
      <c r="D133" s="10">
        <v>18926</v>
      </c>
      <c r="G133" s="25">
        <v>25905.599999999999</v>
      </c>
      <c r="H133" s="25"/>
      <c r="I133" s="25">
        <v>307.8</v>
      </c>
      <c r="L133" s="6">
        <v>128.25069999999999</v>
      </c>
      <c r="M133" s="6">
        <v>2.9021999999999997</v>
      </c>
      <c r="N133" s="6"/>
      <c r="O133" s="25"/>
      <c r="P133" s="25"/>
      <c r="Q133" s="4"/>
      <c r="R133" s="4"/>
      <c r="S133" t="s">
        <v>301</v>
      </c>
      <c r="T133" s="29">
        <v>228.80699999999999</v>
      </c>
      <c r="U133" s="30">
        <f t="shared" si="0"/>
        <v>2.5828752813320977E-2</v>
      </c>
    </row>
    <row r="134" spans="1:21" ht="18.399999999999999" x14ac:dyDescent="0.45">
      <c r="A134" s="1">
        <v>1391</v>
      </c>
      <c r="B134" s="1" t="s">
        <v>288</v>
      </c>
      <c r="C134" s="2" t="s">
        <v>132</v>
      </c>
      <c r="D134" s="11">
        <v>18776</v>
      </c>
      <c r="G134" s="25">
        <v>27259.9</v>
      </c>
      <c r="H134" s="25"/>
      <c r="I134" s="25">
        <v>323.5</v>
      </c>
      <c r="L134" s="6">
        <v>135.00899999999999</v>
      </c>
      <c r="M134" s="6">
        <v>1.1251</v>
      </c>
      <c r="N134" s="6"/>
      <c r="O134" s="25"/>
      <c r="P134" s="25"/>
      <c r="Q134" s="4"/>
      <c r="R134" s="4"/>
      <c r="S134" t="s">
        <v>301</v>
      </c>
      <c r="T134" s="29">
        <v>229.18700000000001</v>
      </c>
      <c r="U134" s="30">
        <f t="shared" si="0"/>
        <v>2.2731633741348567E-2</v>
      </c>
    </row>
    <row r="135" spans="1:21" ht="18.399999999999999" x14ac:dyDescent="0.45">
      <c r="A135" s="1">
        <v>1391</v>
      </c>
      <c r="B135" s="1" t="s">
        <v>289</v>
      </c>
      <c r="C135" s="2" t="s">
        <v>133</v>
      </c>
      <c r="D135" s="11">
        <v>16987</v>
      </c>
      <c r="G135" s="25">
        <v>26667.7</v>
      </c>
      <c r="H135" s="25"/>
      <c r="I135" s="25">
        <v>315.7</v>
      </c>
      <c r="L135" s="6">
        <v>130.286</v>
      </c>
      <c r="M135" s="6">
        <v>1.4009</v>
      </c>
      <c r="N135" s="6"/>
      <c r="O135" s="25"/>
      <c r="P135" s="25"/>
      <c r="Q135" s="4"/>
      <c r="R135" s="4"/>
      <c r="S135" t="s">
        <v>301</v>
      </c>
      <c r="T135" s="29">
        <v>228.71299999999999</v>
      </c>
      <c r="U135" s="30">
        <f t="shared" si="0"/>
        <v>1.7379429374660749E-2</v>
      </c>
    </row>
    <row r="136" spans="1:21" ht="18.399999999999999" x14ac:dyDescent="0.45">
      <c r="A136" s="1">
        <v>1391</v>
      </c>
      <c r="B136" s="1" t="s">
        <v>290</v>
      </c>
      <c r="C136" s="2" t="s">
        <v>134</v>
      </c>
      <c r="D136" s="11">
        <v>17698</v>
      </c>
      <c r="G136" s="25">
        <v>26165.9</v>
      </c>
      <c r="H136" s="25"/>
      <c r="I136" s="25">
        <v>308.3</v>
      </c>
      <c r="L136" s="6">
        <v>123.9058</v>
      </c>
      <c r="M136" s="6">
        <v>1.0109999999999999</v>
      </c>
      <c r="N136" s="6"/>
      <c r="O136" s="25"/>
      <c r="P136" s="25"/>
      <c r="Q136" s="4"/>
      <c r="R136" s="4"/>
      <c r="S136" t="s">
        <v>301</v>
      </c>
      <c r="T136" s="29">
        <v>228.524</v>
      </c>
      <c r="U136" s="30">
        <f t="shared" si="0"/>
        <v>1.6538704482976341E-2</v>
      </c>
    </row>
    <row r="137" spans="1:21" ht="18.399999999999999" x14ac:dyDescent="0.45">
      <c r="A137" s="1">
        <v>1391</v>
      </c>
      <c r="B137" s="1" t="s">
        <v>291</v>
      </c>
      <c r="C137" s="2" t="s">
        <v>135</v>
      </c>
      <c r="D137" s="11">
        <v>19261</v>
      </c>
      <c r="G137" s="25">
        <v>25021.200000000001</v>
      </c>
      <c r="H137" s="25"/>
      <c r="I137" s="25">
        <v>299.5</v>
      </c>
      <c r="L137" s="6">
        <v>116.85769999999999</v>
      </c>
      <c r="M137" s="6">
        <v>1.0966</v>
      </c>
      <c r="N137" s="6"/>
      <c r="O137" s="25"/>
      <c r="P137" s="25"/>
      <c r="Q137" s="4"/>
      <c r="R137" s="4"/>
      <c r="S137" t="s">
        <v>301</v>
      </c>
      <c r="T137" s="29">
        <v>228.59</v>
      </c>
      <c r="U137" s="30">
        <f t="shared" si="0"/>
        <v>1.4175114798464783E-2</v>
      </c>
    </row>
    <row r="138" spans="1:21" ht="18.399999999999999" x14ac:dyDescent="0.45">
      <c r="A138" s="1">
        <v>1391</v>
      </c>
      <c r="B138" s="1" t="s">
        <v>292</v>
      </c>
      <c r="C138" s="2" t="s">
        <v>136</v>
      </c>
      <c r="D138" s="11">
        <v>20464</v>
      </c>
      <c r="G138" s="25">
        <v>24279.1</v>
      </c>
      <c r="H138" s="25"/>
      <c r="I138" s="25">
        <v>280.3</v>
      </c>
      <c r="L138" s="6">
        <v>110.05619999999999</v>
      </c>
      <c r="M138" s="6">
        <v>1.1164999999999998</v>
      </c>
      <c r="N138" s="6"/>
      <c r="O138" s="25"/>
      <c r="P138" s="25"/>
      <c r="Q138" s="4"/>
      <c r="R138" s="4"/>
      <c r="S138" t="s">
        <v>301</v>
      </c>
      <c r="T138" s="29">
        <v>229.91800000000001</v>
      </c>
      <c r="U138" s="30">
        <f t="shared" ref="U138:U201" si="1">T138/T126-1</f>
        <v>1.6859349154821235E-2</v>
      </c>
    </row>
    <row r="139" spans="1:21" ht="18.399999999999999" x14ac:dyDescent="0.45">
      <c r="A139" s="1">
        <v>1391</v>
      </c>
      <c r="B139" s="1" t="s">
        <v>293</v>
      </c>
      <c r="C139" s="2" t="s">
        <v>137</v>
      </c>
      <c r="D139" s="11">
        <v>23214</v>
      </c>
      <c r="G139" s="25">
        <v>26514.5</v>
      </c>
      <c r="H139" s="25"/>
      <c r="I139" s="25">
        <v>302.39999999999998</v>
      </c>
      <c r="L139" s="6">
        <v>120.08989999999999</v>
      </c>
      <c r="M139" s="6">
        <v>1.3502000000000001</v>
      </c>
      <c r="N139" s="6"/>
      <c r="O139" s="25"/>
      <c r="P139" s="25"/>
      <c r="Q139" s="4"/>
      <c r="R139" s="4"/>
      <c r="S139" t="s">
        <v>301</v>
      </c>
      <c r="T139" s="29">
        <v>231.01499999999999</v>
      </c>
      <c r="U139" s="30">
        <f t="shared" si="1"/>
        <v>1.9497168982819613E-2</v>
      </c>
    </row>
    <row r="140" spans="1:21" ht="18.399999999999999" x14ac:dyDescent="0.45">
      <c r="A140" s="1">
        <v>1391</v>
      </c>
      <c r="B140" s="1" t="s">
        <v>294</v>
      </c>
      <c r="C140" s="2" t="s">
        <v>138</v>
      </c>
      <c r="D140" s="11">
        <v>31424</v>
      </c>
      <c r="G140" s="25">
        <v>30211.4</v>
      </c>
      <c r="H140" s="25"/>
      <c r="I140" s="25">
        <v>342.2</v>
      </c>
      <c r="L140" s="6">
        <v>137.55279999999999</v>
      </c>
      <c r="M140" s="6">
        <v>2.5161000000000002</v>
      </c>
      <c r="N140" s="6"/>
      <c r="O140" s="25"/>
      <c r="P140" s="25"/>
      <c r="Q140" s="4"/>
      <c r="R140" s="4"/>
      <c r="S140" t="s">
        <v>301</v>
      </c>
      <c r="T140" s="29">
        <v>231.63800000000001</v>
      </c>
      <c r="U140" s="30">
        <f t="shared" si="1"/>
        <v>2.1556780595369363E-2</v>
      </c>
    </row>
    <row r="141" spans="1:21" ht="18.399999999999999" x14ac:dyDescent="0.45">
      <c r="A141" s="1">
        <v>1391</v>
      </c>
      <c r="B141" s="1" t="s">
        <v>295</v>
      </c>
      <c r="C141" s="2" t="s">
        <v>139</v>
      </c>
      <c r="D141" s="11">
        <v>27600</v>
      </c>
      <c r="G141" s="25">
        <v>31140.9</v>
      </c>
      <c r="H141" s="25"/>
      <c r="I141" s="25">
        <v>339.1</v>
      </c>
      <c r="L141" s="6">
        <v>141.63630000000001</v>
      </c>
      <c r="M141" s="6">
        <v>2.2672999999999996</v>
      </c>
      <c r="N141" s="6"/>
      <c r="O141" s="25"/>
      <c r="P141" s="25"/>
      <c r="Q141" s="4"/>
      <c r="R141" s="4"/>
      <c r="S141" t="s">
        <v>301</v>
      </c>
      <c r="T141" s="29">
        <v>231.249</v>
      </c>
      <c r="U141" s="30">
        <f t="shared" si="1"/>
        <v>1.7960197033926262E-2</v>
      </c>
    </row>
    <row r="142" spans="1:21" ht="18.399999999999999" x14ac:dyDescent="0.45">
      <c r="A142" s="1">
        <v>1391</v>
      </c>
      <c r="B142" s="1" t="s">
        <v>296</v>
      </c>
      <c r="C142" s="2" t="s">
        <v>140</v>
      </c>
      <c r="D142" s="11">
        <v>31200</v>
      </c>
      <c r="G142" s="25">
        <v>35760.300000000003</v>
      </c>
      <c r="H142" s="25"/>
      <c r="I142" s="25">
        <v>365.3</v>
      </c>
      <c r="L142" s="6">
        <v>162.9076</v>
      </c>
      <c r="M142" s="6">
        <v>2.7742999999999998</v>
      </c>
      <c r="N142" s="6"/>
      <c r="O142" s="25"/>
      <c r="P142" s="25"/>
      <c r="Q142" s="4"/>
      <c r="R142" s="4"/>
      <c r="S142" t="s">
        <v>301</v>
      </c>
      <c r="T142" s="29">
        <v>231.221</v>
      </c>
      <c r="U142" s="30">
        <f t="shared" si="1"/>
        <v>1.7595049796895523E-2</v>
      </c>
    </row>
    <row r="143" spans="1:21" ht="18.399999999999999" x14ac:dyDescent="0.45">
      <c r="A143" s="1">
        <v>1391</v>
      </c>
      <c r="B143" s="1" t="s">
        <v>297</v>
      </c>
      <c r="C143" s="2" t="s">
        <v>141</v>
      </c>
      <c r="D143" s="11">
        <v>33600</v>
      </c>
      <c r="G143" s="25">
        <v>37898.800000000003</v>
      </c>
      <c r="H143" s="25"/>
      <c r="I143" s="25">
        <v>416.3</v>
      </c>
      <c r="L143" s="6">
        <v>172.6344</v>
      </c>
      <c r="M143" s="6">
        <v>3.1620999999999997</v>
      </c>
      <c r="N143" s="6"/>
      <c r="O143" s="25"/>
      <c r="P143" s="25"/>
      <c r="Q143" s="4"/>
      <c r="R143" s="4"/>
      <c r="S143" t="s">
        <v>301</v>
      </c>
      <c r="T143" s="29">
        <v>231.679</v>
      </c>
      <c r="U143" s="30">
        <f t="shared" si="1"/>
        <v>1.6840617620982989E-2</v>
      </c>
    </row>
    <row r="144" spans="1:21" ht="18.399999999999999" x14ac:dyDescent="0.45">
      <c r="A144" s="1">
        <v>1391</v>
      </c>
      <c r="B144" s="1" t="s">
        <v>298</v>
      </c>
      <c r="C144" s="2" t="s">
        <v>142</v>
      </c>
      <c r="D144" s="11">
        <v>37200</v>
      </c>
      <c r="G144" s="25">
        <v>38739.4</v>
      </c>
      <c r="H144" s="25"/>
      <c r="I144" s="25">
        <v>403.4</v>
      </c>
      <c r="L144" s="6">
        <v>174.53389999999999</v>
      </c>
      <c r="M144" s="6">
        <v>3.8914999999999997</v>
      </c>
      <c r="N144" s="6"/>
      <c r="O144" s="25"/>
      <c r="P144" s="25"/>
      <c r="Q144" s="4"/>
      <c r="R144" s="4"/>
      <c r="S144" t="s">
        <v>301</v>
      </c>
      <c r="T144" s="29">
        <v>232.93700000000001</v>
      </c>
      <c r="U144" s="30">
        <f t="shared" si="1"/>
        <v>2.0181404902574807E-2</v>
      </c>
    </row>
    <row r="145" spans="1:21" ht="18.399999999999999" x14ac:dyDescent="0.45">
      <c r="A145" s="1">
        <v>1391</v>
      </c>
      <c r="B145" s="1" t="s">
        <v>299</v>
      </c>
      <c r="C145" s="2" t="s">
        <v>143</v>
      </c>
      <c r="D145" s="11">
        <v>34300</v>
      </c>
      <c r="G145" s="25">
        <v>38040.800000000003</v>
      </c>
      <c r="H145" s="25"/>
      <c r="I145" s="25">
        <v>421.8</v>
      </c>
      <c r="L145" s="6">
        <v>170.74970000000002</v>
      </c>
      <c r="M145" s="6">
        <v>4.0406999999999993</v>
      </c>
      <c r="N145" s="6"/>
      <c r="O145" s="25"/>
      <c r="P145" s="25"/>
      <c r="Q145" s="4"/>
      <c r="R145" s="4"/>
      <c r="S145" t="s">
        <v>301</v>
      </c>
      <c r="T145" s="29">
        <v>232.28200000000001</v>
      </c>
      <c r="U145" s="30">
        <f t="shared" si="1"/>
        <v>1.5187472411246183E-2</v>
      </c>
    </row>
    <row r="146" spans="1:21" ht="18.399999999999999" x14ac:dyDescent="0.45">
      <c r="A146" s="1">
        <v>1392</v>
      </c>
      <c r="B146" s="1" t="s">
        <v>288</v>
      </c>
      <c r="C146" s="2" t="s">
        <v>144</v>
      </c>
      <c r="D146" s="11">
        <v>35200</v>
      </c>
      <c r="G146" s="25">
        <v>40550.800000000003</v>
      </c>
      <c r="H146" s="25"/>
      <c r="I146" s="25">
        <v>449.3</v>
      </c>
      <c r="L146" s="6">
        <v>200.1995</v>
      </c>
      <c r="M146" s="6">
        <v>5.9633000000000003</v>
      </c>
      <c r="N146" s="6"/>
      <c r="O146" s="6">
        <v>0.5827</v>
      </c>
      <c r="P146" s="25">
        <v>35.106156000000006</v>
      </c>
      <c r="Q146" s="4"/>
      <c r="R146" s="4"/>
      <c r="S146" t="s">
        <v>301</v>
      </c>
      <c r="T146" s="29">
        <v>231.797</v>
      </c>
      <c r="U146" s="30">
        <f t="shared" si="1"/>
        <v>1.1388080475768669E-2</v>
      </c>
    </row>
    <row r="147" spans="1:21" ht="18.399999999999999" x14ac:dyDescent="0.45">
      <c r="A147" s="1">
        <v>1392</v>
      </c>
      <c r="B147" s="1" t="s">
        <v>289</v>
      </c>
      <c r="C147" s="2" t="s">
        <v>145</v>
      </c>
      <c r="D147" s="11">
        <v>35150</v>
      </c>
      <c r="G147" s="25">
        <v>42855.7</v>
      </c>
      <c r="H147" s="25"/>
      <c r="I147" s="25">
        <v>514.29999999999995</v>
      </c>
      <c r="L147" s="6">
        <v>208.36439999999999</v>
      </c>
      <c r="M147" s="6">
        <v>13.973699999999999</v>
      </c>
      <c r="N147" s="6"/>
      <c r="O147" s="6">
        <v>4.0881999999999996</v>
      </c>
      <c r="P147" s="25">
        <v>39.082592000000005</v>
      </c>
      <c r="Q147" s="4"/>
      <c r="R147" s="4"/>
      <c r="S147" t="s">
        <v>301</v>
      </c>
      <c r="T147" s="29">
        <v>231.893</v>
      </c>
      <c r="U147" s="30">
        <f t="shared" si="1"/>
        <v>1.3903888279197085E-2</v>
      </c>
    </row>
    <row r="148" spans="1:21" ht="18.399999999999999" x14ac:dyDescent="0.45">
      <c r="A148" s="1">
        <v>1392</v>
      </c>
      <c r="B148" s="1" t="s">
        <v>290</v>
      </c>
      <c r="C148" s="2" t="s">
        <v>146</v>
      </c>
      <c r="D148" s="11">
        <v>33200</v>
      </c>
      <c r="G148" s="25">
        <v>48916.7</v>
      </c>
      <c r="H148" s="25"/>
      <c r="I148" s="25">
        <v>566.20000000000005</v>
      </c>
      <c r="L148" s="6">
        <v>232.75920000000002</v>
      </c>
      <c r="M148" s="6">
        <v>4.6135999999999999</v>
      </c>
      <c r="N148" s="6"/>
      <c r="O148" s="6">
        <v>2.1505999999999998</v>
      </c>
      <c r="P148" s="25">
        <v>40.286940000000008</v>
      </c>
      <c r="Q148" s="4"/>
      <c r="R148" s="4"/>
      <c r="S148" t="s">
        <v>301</v>
      </c>
      <c r="T148" s="29">
        <v>232.44499999999999</v>
      </c>
      <c r="U148" s="30">
        <f t="shared" si="1"/>
        <v>1.7157935271568725E-2</v>
      </c>
    </row>
    <row r="149" spans="1:21" ht="18.399999999999999" x14ac:dyDescent="0.45">
      <c r="A149" s="1">
        <v>1392</v>
      </c>
      <c r="B149" s="1" t="s">
        <v>291</v>
      </c>
      <c r="C149" s="2" t="s">
        <v>147</v>
      </c>
      <c r="D149" s="11">
        <v>31600</v>
      </c>
      <c r="G149" s="25">
        <v>55329.3</v>
      </c>
      <c r="H149" s="25"/>
      <c r="I149" s="25">
        <v>609.4</v>
      </c>
      <c r="L149" s="6">
        <v>264.75279999999998</v>
      </c>
      <c r="M149" s="6">
        <v>12.1111</v>
      </c>
      <c r="N149" s="6"/>
      <c r="O149" s="6">
        <v>2.6194999999999999</v>
      </c>
      <c r="P149" s="25">
        <v>43.211483999999999</v>
      </c>
      <c r="Q149" s="4"/>
      <c r="R149" s="4"/>
      <c r="S149" t="s">
        <v>301</v>
      </c>
      <c r="T149" s="29">
        <v>232.9</v>
      </c>
      <c r="U149" s="30">
        <f t="shared" si="1"/>
        <v>1.8854718054158059E-2</v>
      </c>
    </row>
    <row r="150" spans="1:21" ht="18.399999999999999" x14ac:dyDescent="0.45">
      <c r="A150" s="1">
        <v>1392</v>
      </c>
      <c r="B150" s="1" t="s">
        <v>292</v>
      </c>
      <c r="C150" s="2" t="s">
        <v>148</v>
      </c>
      <c r="D150" s="11">
        <v>31200</v>
      </c>
      <c r="G150" s="25">
        <v>59281.599999999999</v>
      </c>
      <c r="H150" s="25"/>
      <c r="I150" s="25">
        <v>613</v>
      </c>
      <c r="L150" s="6">
        <v>292.39789999999999</v>
      </c>
      <c r="M150" s="6">
        <v>5.5314999999999994</v>
      </c>
      <c r="N150" s="6"/>
      <c r="O150" s="6">
        <v>1.1606000000000001</v>
      </c>
      <c r="P150" s="25">
        <v>37.514716</v>
      </c>
      <c r="Q150" s="4"/>
      <c r="R150" s="4"/>
      <c r="S150" t="s">
        <v>301</v>
      </c>
      <c r="T150" s="29">
        <v>233.45599999999999</v>
      </c>
      <c r="U150" s="30">
        <f t="shared" si="1"/>
        <v>1.538809488600279E-2</v>
      </c>
    </row>
    <row r="151" spans="1:21" ht="18.399999999999999" x14ac:dyDescent="0.45">
      <c r="A151" s="1">
        <v>1392</v>
      </c>
      <c r="B151" s="1" t="s">
        <v>293</v>
      </c>
      <c r="C151" s="2" t="s">
        <v>149</v>
      </c>
      <c r="D151" s="11">
        <v>29350</v>
      </c>
      <c r="G151" s="25">
        <v>61707.199999999997</v>
      </c>
      <c r="H151" s="25"/>
      <c r="I151" s="25">
        <v>679.5</v>
      </c>
      <c r="L151" s="6">
        <v>301.3553</v>
      </c>
      <c r="M151" s="6">
        <v>4.7614000000000001</v>
      </c>
      <c r="N151" s="6"/>
      <c r="O151" s="6">
        <v>1.8716999999999999</v>
      </c>
      <c r="P151" s="25">
        <v>47.226680000000002</v>
      </c>
      <c r="Q151" s="4"/>
      <c r="R151" s="4"/>
      <c r="S151" t="s">
        <v>301</v>
      </c>
      <c r="T151" s="29">
        <v>233.54400000000001</v>
      </c>
      <c r="U151" s="30">
        <f t="shared" si="1"/>
        <v>1.0947341081747997E-2</v>
      </c>
    </row>
    <row r="152" spans="1:21" ht="18.399999999999999" x14ac:dyDescent="0.45">
      <c r="A152" s="1">
        <v>1392</v>
      </c>
      <c r="B152" s="1" t="s">
        <v>294</v>
      </c>
      <c r="C152" s="2" t="s">
        <v>150</v>
      </c>
      <c r="D152" s="11">
        <v>30100</v>
      </c>
      <c r="G152" s="25">
        <v>72997.7</v>
      </c>
      <c r="H152" s="25"/>
      <c r="I152" s="25">
        <v>819.8</v>
      </c>
      <c r="L152" s="6">
        <v>356.36270000000002</v>
      </c>
      <c r="M152" s="6">
        <v>9.1620999999999988</v>
      </c>
      <c r="N152" s="6"/>
      <c r="O152" s="6">
        <v>2.8662000000000001</v>
      </c>
      <c r="P152" s="25">
        <v>55.542468000000014</v>
      </c>
      <c r="Q152" s="4"/>
      <c r="R152" s="4"/>
      <c r="S152" t="s">
        <v>301</v>
      </c>
      <c r="T152" s="29">
        <v>233.66900000000001</v>
      </c>
      <c r="U152" s="30">
        <f t="shared" si="1"/>
        <v>8.7679914349114707E-3</v>
      </c>
    </row>
    <row r="153" spans="1:21" ht="18.399999999999999" x14ac:dyDescent="0.45">
      <c r="A153" s="1">
        <v>1392</v>
      </c>
      <c r="B153" s="1" t="s">
        <v>295</v>
      </c>
      <c r="C153" s="2" t="s">
        <v>151</v>
      </c>
      <c r="D153" s="11">
        <v>30100</v>
      </c>
      <c r="G153" s="25">
        <v>78424.100000000006</v>
      </c>
      <c r="H153" s="25"/>
      <c r="I153" s="25">
        <v>828</v>
      </c>
      <c r="L153" s="6">
        <v>377.63960000000003</v>
      </c>
      <c r="M153" s="6">
        <v>6.9231999999999996</v>
      </c>
      <c r="N153" s="6"/>
      <c r="O153" s="6">
        <v>1.9521999999999999</v>
      </c>
      <c r="P153" s="25">
        <v>61.562576</v>
      </c>
      <c r="Q153" s="4"/>
      <c r="R153" s="4"/>
      <c r="S153" t="s">
        <v>301</v>
      </c>
      <c r="T153" s="29">
        <v>234.1</v>
      </c>
      <c r="U153" s="30">
        <f t="shared" si="1"/>
        <v>1.2328701961954458E-2</v>
      </c>
    </row>
    <row r="154" spans="1:21" ht="18.399999999999999" x14ac:dyDescent="0.45">
      <c r="A154" s="1">
        <v>1392</v>
      </c>
      <c r="B154" s="1" t="s">
        <v>296</v>
      </c>
      <c r="C154" s="2" t="s">
        <v>152</v>
      </c>
      <c r="D154" s="11">
        <v>29440</v>
      </c>
      <c r="G154" s="25">
        <v>86957.1</v>
      </c>
      <c r="H154" s="25"/>
      <c r="I154" s="25">
        <v>865</v>
      </c>
      <c r="L154" s="6">
        <v>425.86859999999996</v>
      </c>
      <c r="M154" s="6">
        <v>11.289199999999999</v>
      </c>
      <c r="N154" s="6"/>
      <c r="O154" s="6">
        <v>3.2366999999999999</v>
      </c>
      <c r="P154" s="25">
        <v>67.926084000000003</v>
      </c>
      <c r="Q154" s="4"/>
      <c r="R154" s="4"/>
      <c r="S154" t="s">
        <v>301</v>
      </c>
      <c r="T154" s="29">
        <v>234.71899999999999</v>
      </c>
      <c r="U154" s="30">
        <f t="shared" si="1"/>
        <v>1.5128383667573297E-2</v>
      </c>
    </row>
    <row r="155" spans="1:21" ht="18.399999999999999" x14ac:dyDescent="0.45">
      <c r="A155" s="1">
        <v>1392</v>
      </c>
      <c r="B155" s="1" t="s">
        <v>297</v>
      </c>
      <c r="C155" s="2" t="s">
        <v>153</v>
      </c>
      <c r="D155" s="11">
        <v>28850</v>
      </c>
      <c r="G155" s="25">
        <v>83641.5</v>
      </c>
      <c r="H155" s="25"/>
      <c r="I155" s="25">
        <v>810.6</v>
      </c>
      <c r="L155" s="6">
        <v>411.39150000000001</v>
      </c>
      <c r="M155" s="6">
        <v>8.4922000000000004</v>
      </c>
      <c r="N155" s="6"/>
      <c r="O155" s="6">
        <v>3.2554000000000003</v>
      </c>
      <c r="P155" s="25">
        <v>65.926748000000003</v>
      </c>
      <c r="Q155" s="4"/>
      <c r="R155" s="4"/>
      <c r="S155" t="s">
        <v>301</v>
      </c>
      <c r="T155" s="29">
        <v>235.28800000000001</v>
      </c>
      <c r="U155" s="30">
        <f t="shared" si="1"/>
        <v>1.557758795574915E-2</v>
      </c>
    </row>
    <row r="156" spans="1:21" ht="18.399999999999999" x14ac:dyDescent="0.45">
      <c r="A156" s="1">
        <v>1392</v>
      </c>
      <c r="B156" s="1" t="s">
        <v>298</v>
      </c>
      <c r="C156" s="2" t="s">
        <v>154</v>
      </c>
      <c r="D156" s="11">
        <v>29530</v>
      </c>
      <c r="G156" s="25">
        <v>80986.5</v>
      </c>
      <c r="H156" s="25"/>
      <c r="I156" s="25">
        <v>763.7</v>
      </c>
      <c r="L156" s="6">
        <v>406.4699</v>
      </c>
      <c r="M156" s="6">
        <v>5.4697000000000005</v>
      </c>
      <c r="N156" s="6"/>
      <c r="O156" s="6">
        <v>2.2284999999999999</v>
      </c>
      <c r="P156" s="25">
        <v>63.397148000000001</v>
      </c>
      <c r="Q156" s="4"/>
      <c r="R156" s="4"/>
      <c r="S156" t="s">
        <v>301</v>
      </c>
      <c r="T156" s="29">
        <v>235.547</v>
      </c>
      <c r="U156" s="30">
        <f t="shared" si="1"/>
        <v>1.1204746347724948E-2</v>
      </c>
    </row>
    <row r="157" spans="1:21" ht="18.399999999999999" x14ac:dyDescent="0.45">
      <c r="A157" s="1">
        <v>1392</v>
      </c>
      <c r="B157" s="1" t="s">
        <v>299</v>
      </c>
      <c r="C157" s="2" t="s">
        <v>155</v>
      </c>
      <c r="D157" s="11">
        <v>30250</v>
      </c>
      <c r="G157" s="25">
        <v>79015.399999999994</v>
      </c>
      <c r="H157" s="25">
        <v>10000</v>
      </c>
      <c r="I157" s="25">
        <v>771.3</v>
      </c>
      <c r="L157" s="6">
        <v>386.59699999999998</v>
      </c>
      <c r="M157" s="6">
        <v>8.1433</v>
      </c>
      <c r="N157" s="6"/>
      <c r="O157" s="6">
        <v>3.1120999999999999</v>
      </c>
      <c r="P157" s="25">
        <v>64.892672000000005</v>
      </c>
      <c r="Q157" s="4"/>
      <c r="R157" s="4"/>
      <c r="S157" t="s">
        <v>301</v>
      </c>
      <c r="T157" s="29">
        <v>236.02799999999999</v>
      </c>
      <c r="U157" s="30">
        <f t="shared" si="1"/>
        <v>1.6126949139408042E-2</v>
      </c>
    </row>
    <row r="158" spans="1:21" ht="18.399999999999999" x14ac:dyDescent="0.45">
      <c r="A158" s="1">
        <v>1393</v>
      </c>
      <c r="B158" s="1" t="s">
        <v>288</v>
      </c>
      <c r="C158" s="2" t="s">
        <v>156</v>
      </c>
      <c r="D158" s="11">
        <v>32150</v>
      </c>
      <c r="G158" s="25">
        <v>74160</v>
      </c>
      <c r="H158" s="25">
        <v>9721.4</v>
      </c>
      <c r="I158" s="25">
        <v>748.7</v>
      </c>
      <c r="L158" s="6">
        <v>361.65449999999998</v>
      </c>
      <c r="M158" s="6">
        <v>2.7826</v>
      </c>
      <c r="N158" s="6"/>
      <c r="O158" s="6">
        <v>2.6719999999999997</v>
      </c>
      <c r="P158" s="25">
        <v>64.953056000000004</v>
      </c>
      <c r="Q158" s="4"/>
      <c r="R158" s="4"/>
      <c r="S158" t="s">
        <v>301</v>
      </c>
      <c r="T158" s="29">
        <v>236.46799999999999</v>
      </c>
      <c r="U158" s="30">
        <f t="shared" si="1"/>
        <v>2.0151253036061689E-2</v>
      </c>
    </row>
    <row r="159" spans="1:21" ht="18.399999999999999" x14ac:dyDescent="0.45">
      <c r="A159" s="1">
        <v>1393</v>
      </c>
      <c r="B159" s="1" t="s">
        <v>289</v>
      </c>
      <c r="C159" s="2" t="s">
        <v>157</v>
      </c>
      <c r="D159" s="11">
        <v>33000</v>
      </c>
      <c r="G159" s="25">
        <v>76767.600000000006</v>
      </c>
      <c r="H159" s="25">
        <v>9819.5</v>
      </c>
      <c r="I159" s="25">
        <v>775.7</v>
      </c>
      <c r="L159" s="6">
        <v>368.99180000000001</v>
      </c>
      <c r="M159" s="6">
        <v>14.6774</v>
      </c>
      <c r="N159" s="6"/>
      <c r="O159" s="6">
        <v>5.1758000000000006</v>
      </c>
      <c r="P159" s="25">
        <v>64.084288000000015</v>
      </c>
      <c r="Q159" s="4"/>
      <c r="R159" s="4"/>
      <c r="S159" t="s">
        <v>301</v>
      </c>
      <c r="T159" s="29">
        <v>236.91800000000001</v>
      </c>
      <c r="U159" s="30">
        <f t="shared" si="1"/>
        <v>2.1669476870798121E-2</v>
      </c>
    </row>
    <row r="160" spans="1:21" ht="18.399999999999999" x14ac:dyDescent="0.45">
      <c r="A160" s="1">
        <v>1393</v>
      </c>
      <c r="B160" s="1" t="s">
        <v>290</v>
      </c>
      <c r="C160" s="2" t="s">
        <v>158</v>
      </c>
      <c r="D160" s="11">
        <v>32140</v>
      </c>
      <c r="G160" s="25">
        <v>72969</v>
      </c>
      <c r="H160" s="25">
        <v>9487.1</v>
      </c>
      <c r="I160" s="25">
        <v>748.5</v>
      </c>
      <c r="L160" s="6">
        <v>348.47480000000002</v>
      </c>
      <c r="M160" s="6">
        <v>6.2899000000000003</v>
      </c>
      <c r="N160" s="6"/>
      <c r="O160" s="6">
        <v>3.6957999999999998</v>
      </c>
      <c r="P160" s="25">
        <v>59.007136000000003</v>
      </c>
      <c r="Q160" s="4"/>
      <c r="R160" s="4"/>
      <c r="S160" t="s">
        <v>301</v>
      </c>
      <c r="T160" s="29">
        <v>237.23099999999999</v>
      </c>
      <c r="U160" s="30">
        <f t="shared" si="1"/>
        <v>2.0589816945944195E-2</v>
      </c>
    </row>
    <row r="161" spans="1:21" ht="18.399999999999999" x14ac:dyDescent="0.45">
      <c r="A161" s="1">
        <v>1393</v>
      </c>
      <c r="B161" s="1" t="s">
        <v>291</v>
      </c>
      <c r="C161" s="2" t="s">
        <v>159</v>
      </c>
      <c r="D161" s="11">
        <v>31370</v>
      </c>
      <c r="G161" s="25">
        <v>74526.100000000006</v>
      </c>
      <c r="H161" s="25">
        <v>9684</v>
      </c>
      <c r="I161" s="25">
        <v>806.4</v>
      </c>
      <c r="L161" s="6">
        <v>348.42880000000002</v>
      </c>
      <c r="M161" s="6">
        <v>3.1442000000000001</v>
      </c>
      <c r="N161" s="6"/>
      <c r="O161" s="6">
        <v>2.5434000000000001</v>
      </c>
      <c r="P161" s="25">
        <v>64.084288000000015</v>
      </c>
      <c r="Q161" s="4"/>
      <c r="R161" s="4"/>
      <c r="S161" t="s">
        <v>301</v>
      </c>
      <c r="T161" s="29">
        <v>237.49799999999999</v>
      </c>
      <c r="U161" s="30">
        <f t="shared" si="1"/>
        <v>1.9742378703305974E-2</v>
      </c>
    </row>
    <row r="162" spans="1:21" ht="18.399999999999999" x14ac:dyDescent="0.45">
      <c r="A162" s="1">
        <v>1393</v>
      </c>
      <c r="B162" s="1" t="s">
        <v>292</v>
      </c>
      <c r="C162" s="2" t="s">
        <v>160</v>
      </c>
      <c r="D162" s="11">
        <v>31000</v>
      </c>
      <c r="G162" s="25">
        <v>73905.7</v>
      </c>
      <c r="H162" s="25">
        <v>9845.2000000000007</v>
      </c>
      <c r="I162" s="25">
        <v>806.6</v>
      </c>
      <c r="L162" s="6">
        <v>339.86739999999998</v>
      </c>
      <c r="M162" s="6">
        <v>3.1284000000000001</v>
      </c>
      <c r="N162" s="6"/>
      <c r="O162" s="6">
        <v>1.6463999999999999</v>
      </c>
      <c r="P162" s="25">
        <v>63.989292000000006</v>
      </c>
      <c r="Q162" s="4"/>
      <c r="R162" s="4"/>
      <c r="S162" t="s">
        <v>301</v>
      </c>
      <c r="T162" s="29">
        <v>237.46</v>
      </c>
      <c r="U162" s="30">
        <f t="shared" si="1"/>
        <v>1.7150983482969062E-2</v>
      </c>
    </row>
    <row r="163" spans="1:21" ht="18.399999999999999" x14ac:dyDescent="0.45">
      <c r="A163" s="1">
        <v>1393</v>
      </c>
      <c r="B163" s="1" t="s">
        <v>293</v>
      </c>
      <c r="C163" s="2" t="s">
        <v>161</v>
      </c>
      <c r="D163" s="11">
        <v>31740</v>
      </c>
      <c r="G163" s="25">
        <v>71685.8</v>
      </c>
      <c r="H163" s="25">
        <v>9936.7999999999993</v>
      </c>
      <c r="I163" s="25">
        <v>816</v>
      </c>
      <c r="L163" s="6">
        <v>329.44810000000001</v>
      </c>
      <c r="M163" s="6">
        <v>2.9916</v>
      </c>
      <c r="N163" s="6"/>
      <c r="O163" s="6">
        <v>2.3102</v>
      </c>
      <c r="P163" s="25">
        <v>63.599244000000006</v>
      </c>
      <c r="Q163" s="4"/>
      <c r="R163" s="4"/>
      <c r="S163" t="s">
        <v>301</v>
      </c>
      <c r="T163" s="29">
        <v>237.477</v>
      </c>
      <c r="U163" s="30">
        <f t="shared" si="1"/>
        <v>1.6840509711232077E-2</v>
      </c>
    </row>
    <row r="164" spans="1:21" ht="18.399999999999999" x14ac:dyDescent="0.45">
      <c r="A164" s="1">
        <v>1393</v>
      </c>
      <c r="B164" s="1" t="s">
        <v>294</v>
      </c>
      <c r="C164" s="2" t="s">
        <v>162</v>
      </c>
      <c r="D164" s="11">
        <v>32300</v>
      </c>
      <c r="G164" s="25">
        <v>74132.800000000003</v>
      </c>
      <c r="H164" s="25">
        <v>10731.1</v>
      </c>
      <c r="I164" s="25">
        <v>842.6</v>
      </c>
      <c r="L164" s="6">
        <v>338.16370000000001</v>
      </c>
      <c r="M164" s="6">
        <v>2.4553000000000003</v>
      </c>
      <c r="N164" s="6"/>
      <c r="O164" s="6">
        <v>1.7425999999999999</v>
      </c>
      <c r="P164" s="25">
        <v>65.699220000000011</v>
      </c>
      <c r="Q164" s="4"/>
      <c r="R164" s="4"/>
      <c r="S164" t="s">
        <v>301</v>
      </c>
      <c r="T164" s="29">
        <v>237.43</v>
      </c>
      <c r="U164" s="30">
        <f t="shared" si="1"/>
        <v>1.6095417021513292E-2</v>
      </c>
    </row>
    <row r="165" spans="1:21" ht="18.399999999999999" x14ac:dyDescent="0.45">
      <c r="A165" s="1">
        <v>1393</v>
      </c>
      <c r="B165" s="1" t="s">
        <v>295</v>
      </c>
      <c r="C165" s="2" t="s">
        <v>163</v>
      </c>
      <c r="D165" s="11">
        <v>32540</v>
      </c>
      <c r="G165" s="25">
        <v>75248.399999999994</v>
      </c>
      <c r="H165" s="25">
        <v>11427.6</v>
      </c>
      <c r="I165" s="25">
        <v>845.5</v>
      </c>
      <c r="L165" s="6">
        <v>344.06039999999996</v>
      </c>
      <c r="M165" s="6">
        <v>4.5322000000000005</v>
      </c>
      <c r="N165" s="6"/>
      <c r="O165" s="6">
        <v>2.2861000000000002</v>
      </c>
      <c r="P165" s="25">
        <v>67.094716000000005</v>
      </c>
      <c r="Q165" s="4"/>
      <c r="R165" s="4"/>
      <c r="S165" t="s">
        <v>301</v>
      </c>
      <c r="T165" s="29">
        <v>236.983</v>
      </c>
      <c r="U165" s="30">
        <f t="shared" si="1"/>
        <v>1.231524989320798E-2</v>
      </c>
    </row>
    <row r="166" spans="1:21" ht="18.399999999999999" x14ac:dyDescent="0.45">
      <c r="A166" s="1">
        <v>1393</v>
      </c>
      <c r="B166" s="1" t="s">
        <v>296</v>
      </c>
      <c r="C166" s="3" t="s">
        <v>164</v>
      </c>
      <c r="D166" s="11">
        <v>35100</v>
      </c>
      <c r="G166" s="25">
        <v>69537.5</v>
      </c>
      <c r="H166" s="25">
        <v>10596.5</v>
      </c>
      <c r="I166" s="25">
        <v>797.7</v>
      </c>
      <c r="L166" s="6">
        <v>319.1986</v>
      </c>
      <c r="M166" s="6">
        <v>4.1899999999999995</v>
      </c>
      <c r="N166" s="6"/>
      <c r="O166" s="6">
        <v>2.5760999999999998</v>
      </c>
      <c r="P166" s="25">
        <v>64.431292000000013</v>
      </c>
      <c r="Q166" s="4"/>
      <c r="R166" s="4"/>
      <c r="S166" t="s">
        <v>301</v>
      </c>
      <c r="T166" s="29">
        <v>236.25200000000001</v>
      </c>
      <c r="U166" s="30">
        <f t="shared" si="1"/>
        <v>6.5312139196231911E-3</v>
      </c>
    </row>
    <row r="167" spans="1:21" ht="18.399999999999999" x14ac:dyDescent="0.45">
      <c r="A167" s="1">
        <v>1393</v>
      </c>
      <c r="B167" s="1" t="s">
        <v>297</v>
      </c>
      <c r="C167" s="2" t="s">
        <v>165</v>
      </c>
      <c r="D167" s="11">
        <v>34850</v>
      </c>
      <c r="G167" s="25">
        <v>65564.7</v>
      </c>
      <c r="H167" s="25">
        <v>9908.4</v>
      </c>
      <c r="I167" s="25">
        <v>723.6</v>
      </c>
      <c r="L167" s="6">
        <v>300.21940000000001</v>
      </c>
      <c r="M167" s="6">
        <v>3.0684</v>
      </c>
      <c r="N167" s="6"/>
      <c r="O167" s="6">
        <v>2.5129999999999999</v>
      </c>
      <c r="P167" s="25">
        <v>59.005572000000008</v>
      </c>
      <c r="Q167" s="4"/>
      <c r="R167" s="4"/>
      <c r="S167" t="s">
        <v>301</v>
      </c>
      <c r="T167" s="29">
        <v>234.74700000000001</v>
      </c>
      <c r="U167" s="30">
        <f t="shared" si="1"/>
        <v>-2.2993097820542818E-3</v>
      </c>
    </row>
    <row r="168" spans="1:21" ht="18.399999999999999" x14ac:dyDescent="0.45">
      <c r="A168" s="1">
        <v>1393</v>
      </c>
      <c r="B168" s="1" t="s">
        <v>298</v>
      </c>
      <c r="C168" s="2" t="s">
        <v>166</v>
      </c>
      <c r="D168" s="11">
        <v>34230</v>
      </c>
      <c r="G168" s="25">
        <v>64720</v>
      </c>
      <c r="H168" s="25">
        <v>9934.2000000000007</v>
      </c>
      <c r="I168" s="25">
        <v>734.9</v>
      </c>
      <c r="L168" s="6">
        <v>295.33299999999997</v>
      </c>
      <c r="M168" s="6">
        <v>2.2894999999999999</v>
      </c>
      <c r="N168" s="6"/>
      <c r="O168" s="6">
        <v>2.2376999999999998</v>
      </c>
      <c r="P168" s="25">
        <v>60.445200000000007</v>
      </c>
      <c r="Q168" s="4"/>
      <c r="R168" s="4"/>
      <c r="S168" t="s">
        <v>301</v>
      </c>
      <c r="T168" s="29">
        <v>235.34200000000001</v>
      </c>
      <c r="U168" s="30">
        <f t="shared" si="1"/>
        <v>-8.7031462935205361E-4</v>
      </c>
    </row>
    <row r="169" spans="1:21" ht="18.399999999999999" x14ac:dyDescent="0.45">
      <c r="A169" s="1">
        <v>1393</v>
      </c>
      <c r="B169" s="1" t="s">
        <v>299</v>
      </c>
      <c r="C169" s="2" t="s">
        <v>167</v>
      </c>
      <c r="D169" s="11">
        <v>33450</v>
      </c>
      <c r="G169" s="25">
        <v>62531.8</v>
      </c>
      <c r="H169" s="25">
        <v>9861.5</v>
      </c>
      <c r="I169" s="25">
        <v>668.3</v>
      </c>
      <c r="L169" s="6">
        <v>281.31560000000002</v>
      </c>
      <c r="M169" s="6">
        <v>4.4028</v>
      </c>
      <c r="N169" s="6"/>
      <c r="O169" s="6">
        <v>3.8601000000000001</v>
      </c>
      <c r="P169" s="25">
        <v>56.757084000000006</v>
      </c>
      <c r="Q169" s="4"/>
      <c r="R169" s="4"/>
      <c r="S169" t="s">
        <v>301</v>
      </c>
      <c r="T169" s="29">
        <v>235.976</v>
      </c>
      <c r="U169" s="30">
        <f t="shared" si="1"/>
        <v>-2.2031284423873476E-4</v>
      </c>
    </row>
    <row r="170" spans="1:21" ht="18.399999999999999" x14ac:dyDescent="0.45">
      <c r="A170" s="1">
        <v>1394</v>
      </c>
      <c r="B170" s="1" t="s">
        <v>288</v>
      </c>
      <c r="C170" s="2" t="s">
        <v>168</v>
      </c>
      <c r="D170" s="11">
        <v>33430</v>
      </c>
      <c r="G170" s="25">
        <v>67016.7</v>
      </c>
      <c r="H170" s="25">
        <v>10169.200000000001</v>
      </c>
      <c r="I170" s="25">
        <v>750</v>
      </c>
      <c r="J170" s="6">
        <v>9286</v>
      </c>
      <c r="K170" s="6">
        <v>28675</v>
      </c>
      <c r="L170" s="6">
        <v>299.96999999999997</v>
      </c>
      <c r="M170" s="6">
        <v>4.5999999999999996</v>
      </c>
      <c r="N170" s="6"/>
      <c r="O170" s="6">
        <v>2.29</v>
      </c>
      <c r="P170" s="25">
        <v>63.981200000000008</v>
      </c>
      <c r="Q170" s="4"/>
      <c r="R170" s="4"/>
      <c r="S170" t="s">
        <v>301</v>
      </c>
      <c r="T170" s="29">
        <v>236.22200000000001</v>
      </c>
      <c r="U170" s="30">
        <f t="shared" si="1"/>
        <v>-1.0403098939391064E-3</v>
      </c>
    </row>
    <row r="171" spans="1:21" ht="18.399999999999999" x14ac:dyDescent="0.45">
      <c r="A171" s="1">
        <v>1394</v>
      </c>
      <c r="B171" s="1" t="s">
        <v>289</v>
      </c>
      <c r="C171" s="2" t="s">
        <v>169</v>
      </c>
      <c r="D171" s="11">
        <v>33100</v>
      </c>
      <c r="G171" s="25">
        <v>63703.1</v>
      </c>
      <c r="H171" s="25">
        <v>9924.2999999999993</v>
      </c>
      <c r="I171" s="25">
        <v>727</v>
      </c>
      <c r="J171" s="6">
        <v>8950</v>
      </c>
      <c r="K171" s="6">
        <v>26982</v>
      </c>
      <c r="L171" s="6">
        <v>286.98</v>
      </c>
      <c r="M171" s="6">
        <v>2.56</v>
      </c>
      <c r="N171" s="6"/>
      <c r="O171" s="6">
        <v>2.66</v>
      </c>
      <c r="P171" s="25">
        <v>61.057200000000002</v>
      </c>
      <c r="Q171" s="4"/>
      <c r="R171" s="4"/>
      <c r="S171" t="s">
        <v>301</v>
      </c>
      <c r="T171" s="29">
        <v>237.001</v>
      </c>
      <c r="U171" s="30">
        <f t="shared" si="1"/>
        <v>3.5033218244295838E-4</v>
      </c>
    </row>
    <row r="172" spans="1:21" ht="18.399999999999999" x14ac:dyDescent="0.45">
      <c r="A172" s="1">
        <v>1394</v>
      </c>
      <c r="B172" s="1" t="s">
        <v>290</v>
      </c>
      <c r="C172" s="2" t="s">
        <v>170</v>
      </c>
      <c r="D172" s="11">
        <v>32770</v>
      </c>
      <c r="G172" s="25">
        <v>63810.7</v>
      </c>
      <c r="H172" s="25">
        <v>9766.1</v>
      </c>
      <c r="I172" s="25">
        <v>703.1</v>
      </c>
      <c r="J172" s="6">
        <v>8572</v>
      </c>
      <c r="K172" s="6">
        <v>26468</v>
      </c>
      <c r="L172" s="6">
        <v>279.37</v>
      </c>
      <c r="M172" s="6">
        <v>1.83</v>
      </c>
      <c r="N172" s="6"/>
      <c r="O172" s="6">
        <v>4.8100000000000005</v>
      </c>
      <c r="P172" s="25">
        <v>57.602800000000009</v>
      </c>
      <c r="Q172" s="4"/>
      <c r="R172" s="4"/>
      <c r="S172" t="s">
        <v>301</v>
      </c>
      <c r="T172" s="29">
        <v>237.65700000000001</v>
      </c>
      <c r="U172" s="30">
        <f t="shared" si="1"/>
        <v>1.7957180975505249E-3</v>
      </c>
    </row>
    <row r="173" spans="1:21" ht="18.399999999999999" x14ac:dyDescent="0.45">
      <c r="A173" s="1">
        <v>1394</v>
      </c>
      <c r="B173" s="1" t="s">
        <v>291</v>
      </c>
      <c r="C173" s="2" t="s">
        <v>171</v>
      </c>
      <c r="D173" s="11">
        <v>32570</v>
      </c>
      <c r="G173" s="25">
        <v>67643.899999999994</v>
      </c>
      <c r="H173" s="25">
        <v>10353.799999999999</v>
      </c>
      <c r="I173" s="25">
        <v>803.2</v>
      </c>
      <c r="J173" s="6">
        <v>8923</v>
      </c>
      <c r="K173" s="6">
        <v>27161</v>
      </c>
      <c r="L173" s="6">
        <v>293.21999999999997</v>
      </c>
      <c r="M173" s="6">
        <v>3.85</v>
      </c>
      <c r="N173" s="6"/>
      <c r="O173" s="6">
        <v>2.96</v>
      </c>
      <c r="P173" s="25">
        <v>62.376399999999997</v>
      </c>
      <c r="Q173" s="4"/>
      <c r="R173" s="4"/>
      <c r="S173" t="s">
        <v>301</v>
      </c>
      <c r="T173" s="29">
        <v>238.03399999999999</v>
      </c>
      <c r="U173" s="30">
        <f t="shared" si="1"/>
        <v>2.2568611104094582E-3</v>
      </c>
    </row>
    <row r="174" spans="1:21" ht="18.399999999999999" x14ac:dyDescent="0.45">
      <c r="A174" s="1">
        <v>1394</v>
      </c>
      <c r="B174" s="1" t="s">
        <v>292</v>
      </c>
      <c r="C174" s="2" t="s">
        <v>172</v>
      </c>
      <c r="D174" s="11">
        <v>33670</v>
      </c>
      <c r="G174" s="25">
        <v>65225</v>
      </c>
      <c r="H174" s="25">
        <v>9991.5</v>
      </c>
      <c r="I174" s="25">
        <v>742.1</v>
      </c>
      <c r="J174" s="6">
        <v>8543</v>
      </c>
      <c r="K174" s="6">
        <v>25786</v>
      </c>
      <c r="L174" s="6">
        <v>285.13</v>
      </c>
      <c r="M174" s="6">
        <v>2.31</v>
      </c>
      <c r="N174" s="6"/>
      <c r="O174" s="6">
        <v>1.8699999999999999</v>
      </c>
      <c r="P174" s="25">
        <v>54.359200000000001</v>
      </c>
      <c r="Q174" s="4"/>
      <c r="R174" s="4"/>
      <c r="S174" t="s">
        <v>301</v>
      </c>
      <c r="T174" s="29">
        <v>238.03299999999999</v>
      </c>
      <c r="U174" s="30">
        <f t="shared" si="1"/>
        <v>2.413037985344868E-3</v>
      </c>
    </row>
    <row r="175" spans="1:21" ht="18.399999999999999" x14ac:dyDescent="0.45">
      <c r="A175" s="1">
        <v>1394</v>
      </c>
      <c r="B175" s="1" t="s">
        <v>293</v>
      </c>
      <c r="C175" s="2" t="s">
        <v>173</v>
      </c>
      <c r="D175" s="11">
        <v>34150</v>
      </c>
      <c r="G175" s="25">
        <v>61576.800000000003</v>
      </c>
      <c r="H175" s="25">
        <v>9549</v>
      </c>
      <c r="I175" s="25">
        <v>681.4</v>
      </c>
      <c r="J175" s="6">
        <v>8148</v>
      </c>
      <c r="K175" s="6">
        <v>24121</v>
      </c>
      <c r="L175" s="6">
        <v>264.03000000000003</v>
      </c>
      <c r="M175" s="6">
        <v>2.7399999999999998</v>
      </c>
      <c r="N175" s="6"/>
      <c r="O175" s="6">
        <v>5.29</v>
      </c>
      <c r="P175" s="25">
        <v>51.829600000000006</v>
      </c>
      <c r="Q175" s="4"/>
      <c r="R175" s="4"/>
      <c r="S175" t="s">
        <v>301</v>
      </c>
      <c r="T175" s="29">
        <v>237.49799999999999</v>
      </c>
      <c r="U175" s="30">
        <f t="shared" si="1"/>
        <v>8.8429616341700878E-5</v>
      </c>
    </row>
    <row r="176" spans="1:21" ht="18.399999999999999" x14ac:dyDescent="0.45">
      <c r="A176" s="1">
        <v>1394</v>
      </c>
      <c r="B176" s="1" t="s">
        <v>294</v>
      </c>
      <c r="C176" s="2" t="s">
        <v>174</v>
      </c>
      <c r="D176" s="11">
        <v>34670</v>
      </c>
      <c r="G176" s="25">
        <v>63175</v>
      </c>
      <c r="H176" s="25">
        <v>9690.2999999999993</v>
      </c>
      <c r="I176" s="25">
        <v>701.6</v>
      </c>
      <c r="J176" s="6">
        <v>8259</v>
      </c>
      <c r="K176" s="6">
        <v>24742</v>
      </c>
      <c r="L176" s="6">
        <v>271.44</v>
      </c>
      <c r="M176" s="6">
        <v>1.6199999999999999</v>
      </c>
      <c r="N176" s="6"/>
      <c r="O176" s="6">
        <v>1.75</v>
      </c>
      <c r="P176" s="25">
        <v>53.590800000000009</v>
      </c>
      <c r="Q176" s="4"/>
      <c r="R176" s="4"/>
      <c r="S176" t="s">
        <v>301</v>
      </c>
      <c r="T176" s="29">
        <v>237.733</v>
      </c>
      <c r="U176" s="30">
        <f t="shared" si="1"/>
        <v>1.2761656067050708E-3</v>
      </c>
    </row>
    <row r="177" spans="1:21" ht="18.399999999999999" x14ac:dyDescent="0.45">
      <c r="A177" s="1">
        <v>1394</v>
      </c>
      <c r="B177" s="1" t="s">
        <v>295</v>
      </c>
      <c r="C177" s="2" t="s">
        <v>175</v>
      </c>
      <c r="D177" s="11">
        <v>35800</v>
      </c>
      <c r="G177" s="25">
        <v>62889</v>
      </c>
      <c r="H177" s="25">
        <v>9825.5</v>
      </c>
      <c r="I177" s="25">
        <v>701.5</v>
      </c>
      <c r="J177" s="6">
        <v>8358</v>
      </c>
      <c r="K177" s="6">
        <v>24488</v>
      </c>
      <c r="L177" s="6">
        <v>272.98</v>
      </c>
      <c r="M177" s="6">
        <v>1.45</v>
      </c>
      <c r="N177" s="6"/>
      <c r="O177" s="6">
        <v>2.2000000000000002</v>
      </c>
      <c r="P177" s="25">
        <v>53.060400000000001</v>
      </c>
      <c r="Q177" s="4"/>
      <c r="R177" s="4"/>
      <c r="S177" t="s">
        <v>301</v>
      </c>
      <c r="T177" s="29">
        <v>238.017</v>
      </c>
      <c r="U177" s="30">
        <f t="shared" si="1"/>
        <v>4.3631821691851869E-3</v>
      </c>
    </row>
    <row r="178" spans="1:21" ht="18.399999999999999" x14ac:dyDescent="0.45">
      <c r="A178" s="1">
        <v>1394</v>
      </c>
      <c r="B178" s="1" t="s">
        <v>296</v>
      </c>
      <c r="C178" s="2" t="s">
        <v>176</v>
      </c>
      <c r="D178" s="11">
        <v>36420</v>
      </c>
      <c r="G178" s="25">
        <v>61518.5</v>
      </c>
      <c r="H178" s="25">
        <v>9445.7999999999993</v>
      </c>
      <c r="I178" s="25">
        <v>674.8</v>
      </c>
      <c r="J178" s="6">
        <v>8017</v>
      </c>
      <c r="K178" s="6">
        <v>23948</v>
      </c>
      <c r="L178" s="6">
        <v>266.14999999999998</v>
      </c>
      <c r="M178" s="6">
        <v>1.6199999999999999</v>
      </c>
      <c r="N178" s="6"/>
      <c r="O178" s="6">
        <v>2.16</v>
      </c>
      <c r="P178" s="25">
        <v>52.666000000000004</v>
      </c>
      <c r="Q178" s="4"/>
      <c r="R178" s="4"/>
      <c r="S178" t="s">
        <v>301</v>
      </c>
      <c r="T178" s="29">
        <v>237.761</v>
      </c>
      <c r="U178" s="30">
        <f t="shared" si="1"/>
        <v>6.3872475153647912E-3</v>
      </c>
    </row>
    <row r="179" spans="1:21" ht="18.399999999999999" x14ac:dyDescent="0.45">
      <c r="A179" s="1">
        <v>1394</v>
      </c>
      <c r="B179" s="1" t="s">
        <v>297</v>
      </c>
      <c r="C179" s="2" t="s">
        <v>177</v>
      </c>
      <c r="D179" s="11">
        <v>36120</v>
      </c>
      <c r="G179" s="25">
        <v>66562.5</v>
      </c>
      <c r="H179" s="25">
        <v>10598.7</v>
      </c>
      <c r="I179" s="25">
        <v>719.1</v>
      </c>
      <c r="J179" s="6">
        <v>8960</v>
      </c>
      <c r="K179" s="6">
        <v>25728</v>
      </c>
      <c r="L179" s="6">
        <v>287.3</v>
      </c>
      <c r="M179" s="6">
        <v>4.71</v>
      </c>
      <c r="N179" s="6"/>
      <c r="O179" s="6">
        <v>3.4329999999999998</v>
      </c>
      <c r="P179" s="25">
        <v>55.324800000000003</v>
      </c>
      <c r="Q179" s="4"/>
      <c r="R179" s="4"/>
      <c r="S179" t="s">
        <v>301</v>
      </c>
      <c r="T179" s="29">
        <v>237.65199999999999</v>
      </c>
      <c r="U179" s="30">
        <f t="shared" si="1"/>
        <v>1.2375025026943876E-2</v>
      </c>
    </row>
    <row r="180" spans="1:21" ht="18.399999999999999" x14ac:dyDescent="0.45">
      <c r="A180" s="1">
        <v>1394</v>
      </c>
      <c r="B180" s="1" t="s">
        <v>298</v>
      </c>
      <c r="C180" s="2" t="s">
        <v>178</v>
      </c>
      <c r="D180" s="11">
        <v>35030</v>
      </c>
      <c r="G180" s="25">
        <v>77888</v>
      </c>
      <c r="H180" s="25">
        <v>12903.4</v>
      </c>
      <c r="I180" s="25">
        <v>819.4</v>
      </c>
      <c r="J180" s="6">
        <v>10871</v>
      </c>
      <c r="K180" s="6">
        <v>29860</v>
      </c>
      <c r="L180" s="6">
        <v>336.35</v>
      </c>
      <c r="M180" s="6">
        <v>10.18</v>
      </c>
      <c r="N180" s="6"/>
      <c r="O180" s="6">
        <v>5.2</v>
      </c>
      <c r="P180" s="25">
        <v>66.021200000000007</v>
      </c>
      <c r="Q180" s="4"/>
      <c r="R180" s="4"/>
      <c r="S180" t="s">
        <v>301</v>
      </c>
      <c r="T180" s="29">
        <v>237.33600000000001</v>
      </c>
      <c r="U180" s="30">
        <f t="shared" si="1"/>
        <v>8.4727757901266187E-3</v>
      </c>
    </row>
    <row r="181" spans="1:21" ht="18.399999999999999" x14ac:dyDescent="0.45">
      <c r="A181" s="1">
        <v>1394</v>
      </c>
      <c r="B181" s="1" t="s">
        <v>299</v>
      </c>
      <c r="C181" s="2" t="s">
        <v>179</v>
      </c>
      <c r="D181" s="11">
        <v>34600</v>
      </c>
      <c r="G181" s="25">
        <v>80219.399999999994</v>
      </c>
      <c r="H181" s="25">
        <v>13356.7</v>
      </c>
      <c r="I181" s="25">
        <v>805.6</v>
      </c>
      <c r="J181" s="6">
        <v>11202</v>
      </c>
      <c r="K181" s="6">
        <v>30511</v>
      </c>
      <c r="L181" s="6">
        <v>344.45</v>
      </c>
      <c r="M181" s="6">
        <v>9.879999999999999</v>
      </c>
      <c r="N181" s="6"/>
      <c r="O181" s="6">
        <v>10.72</v>
      </c>
      <c r="P181" s="25">
        <v>65.71520000000001</v>
      </c>
      <c r="Q181" s="4"/>
      <c r="R181" s="4"/>
      <c r="S181" t="s">
        <v>301</v>
      </c>
      <c r="T181" s="29">
        <v>238.08</v>
      </c>
      <c r="U181" s="30">
        <f t="shared" si="1"/>
        <v>8.9161609655219465E-3</v>
      </c>
    </row>
    <row r="182" spans="1:21" ht="18.399999999999999" x14ac:dyDescent="0.45">
      <c r="A182" s="1">
        <v>1395</v>
      </c>
      <c r="B182" s="1" t="s">
        <v>288</v>
      </c>
      <c r="C182" s="2" t="s">
        <v>180</v>
      </c>
      <c r="D182" s="11">
        <v>34770</v>
      </c>
      <c r="G182" s="25">
        <v>78430.899999999994</v>
      </c>
      <c r="H182" s="25">
        <v>13430.4</v>
      </c>
      <c r="I182" s="25">
        <v>779.6</v>
      </c>
      <c r="J182" s="6">
        <v>11243</v>
      </c>
      <c r="K182" s="6">
        <v>29605</v>
      </c>
      <c r="L182" s="6">
        <v>338.46</v>
      </c>
      <c r="M182" s="6">
        <v>5.87</v>
      </c>
      <c r="N182" s="6"/>
      <c r="O182" s="6">
        <v>3.15</v>
      </c>
      <c r="P182" s="25">
        <v>62.906800000000011</v>
      </c>
      <c r="Q182" s="4"/>
      <c r="R182" s="4"/>
      <c r="S182" t="s">
        <v>301</v>
      </c>
      <c r="T182" s="29">
        <v>238.99199999999999</v>
      </c>
      <c r="U182" s="30">
        <f t="shared" si="1"/>
        <v>1.1726257503534843E-2</v>
      </c>
    </row>
    <row r="183" spans="1:21" ht="18.399999999999999" x14ac:dyDescent="0.45">
      <c r="A183" s="1">
        <v>1395</v>
      </c>
      <c r="B183" s="1" t="s">
        <v>289</v>
      </c>
      <c r="C183" s="2" t="s">
        <v>181</v>
      </c>
      <c r="D183" s="11">
        <v>34450</v>
      </c>
      <c r="G183" s="25">
        <v>76413.3</v>
      </c>
      <c r="H183" s="25">
        <v>13740.8</v>
      </c>
      <c r="I183" s="25">
        <v>818.4</v>
      </c>
      <c r="J183" s="6">
        <v>11384</v>
      </c>
      <c r="K183" s="6">
        <v>28574</v>
      </c>
      <c r="L183" s="6">
        <v>331.39</v>
      </c>
      <c r="M183" s="6">
        <v>5.5200000000000005</v>
      </c>
      <c r="N183" s="6"/>
      <c r="O183" s="6">
        <v>4.3899999999999997</v>
      </c>
      <c r="P183" s="25">
        <v>65.735600000000005</v>
      </c>
      <c r="Q183" s="4"/>
      <c r="R183" s="4"/>
      <c r="S183" t="s">
        <v>301</v>
      </c>
      <c r="T183" s="29">
        <v>239.55699999999999</v>
      </c>
      <c r="U183" s="30">
        <f t="shared" si="1"/>
        <v>1.0784764621246223E-2</v>
      </c>
    </row>
    <row r="184" spans="1:21" ht="18.399999999999999" x14ac:dyDescent="0.45">
      <c r="A184" s="1">
        <v>1395</v>
      </c>
      <c r="B184" s="1" t="s">
        <v>290</v>
      </c>
      <c r="C184" s="2" t="s">
        <v>182</v>
      </c>
      <c r="D184" s="11">
        <v>34630</v>
      </c>
      <c r="G184" s="25">
        <v>72615</v>
      </c>
      <c r="H184" s="25">
        <v>13354.9</v>
      </c>
      <c r="I184" s="25">
        <v>757.7</v>
      </c>
      <c r="J184" s="6">
        <v>10844</v>
      </c>
      <c r="K184" s="6">
        <v>26416</v>
      </c>
      <c r="L184" s="6">
        <v>308.06</v>
      </c>
      <c r="M184" s="6">
        <v>4.17</v>
      </c>
      <c r="N184" s="6"/>
      <c r="O184" s="6">
        <v>3.71</v>
      </c>
      <c r="P184" s="25">
        <v>62.8932</v>
      </c>
      <c r="Q184" s="4"/>
      <c r="R184" s="4"/>
      <c r="S184" t="s">
        <v>301</v>
      </c>
      <c r="T184" s="29">
        <v>240.22200000000001</v>
      </c>
      <c r="U184" s="30">
        <f t="shared" si="1"/>
        <v>1.0792865347959424E-2</v>
      </c>
    </row>
    <row r="185" spans="1:21" ht="18.399999999999999" x14ac:dyDescent="0.45">
      <c r="A185" s="1">
        <v>1395</v>
      </c>
      <c r="B185" s="1" t="s">
        <v>291</v>
      </c>
      <c r="C185" s="2" t="s">
        <v>183</v>
      </c>
      <c r="D185" s="11">
        <v>35150</v>
      </c>
      <c r="G185" s="25">
        <v>74514.100000000006</v>
      </c>
      <c r="H185" s="25">
        <v>13831.8</v>
      </c>
      <c r="I185" s="25">
        <v>787.6</v>
      </c>
      <c r="J185" s="6">
        <v>11111</v>
      </c>
      <c r="K185" s="6">
        <v>26761</v>
      </c>
      <c r="L185" s="6">
        <v>312.83000000000004</v>
      </c>
      <c r="M185" s="6">
        <v>4.5200000000000005</v>
      </c>
      <c r="N185" s="6"/>
      <c r="O185" s="6">
        <v>2.3899999999999997</v>
      </c>
      <c r="P185" s="25">
        <v>63.3964</v>
      </c>
      <c r="Q185" s="4"/>
      <c r="R185" s="4"/>
      <c r="S185" t="s">
        <v>301</v>
      </c>
      <c r="T185" s="29">
        <v>240.101</v>
      </c>
      <c r="U185" s="30">
        <f t="shared" si="1"/>
        <v>8.6836334305182561E-3</v>
      </c>
    </row>
    <row r="186" spans="1:21" ht="18.399999999999999" x14ac:dyDescent="0.45">
      <c r="A186" s="1">
        <v>1395</v>
      </c>
      <c r="B186" s="1" t="s">
        <v>292</v>
      </c>
      <c r="C186" s="2" t="s">
        <v>184</v>
      </c>
      <c r="D186" s="11">
        <v>35400</v>
      </c>
      <c r="G186" s="25">
        <v>78086.399999999994</v>
      </c>
      <c r="H186" s="25">
        <v>14524.1</v>
      </c>
      <c r="I186" s="25">
        <v>805.3</v>
      </c>
      <c r="J186" s="6">
        <v>11619</v>
      </c>
      <c r="K186" s="6">
        <v>27818</v>
      </c>
      <c r="L186" s="6">
        <v>322.93</v>
      </c>
      <c r="M186" s="6">
        <v>4.0999999999999996</v>
      </c>
      <c r="N186" s="6"/>
      <c r="O186" s="6">
        <v>2.83</v>
      </c>
      <c r="P186" s="25">
        <v>64.273600000000016</v>
      </c>
      <c r="Q186" s="4"/>
      <c r="R186" s="4"/>
      <c r="S186" t="s">
        <v>301</v>
      </c>
      <c r="T186" s="29">
        <v>240.54499999999999</v>
      </c>
      <c r="U186" s="30">
        <f t="shared" si="1"/>
        <v>1.0553158595656864E-2</v>
      </c>
    </row>
    <row r="187" spans="1:21" ht="18.399999999999999" x14ac:dyDescent="0.8">
      <c r="A187" s="1">
        <v>1395</v>
      </c>
      <c r="B187" s="1" t="s">
        <v>293</v>
      </c>
      <c r="C187" s="2" t="s">
        <v>185</v>
      </c>
      <c r="D187" s="11">
        <v>35700</v>
      </c>
      <c r="F187" s="20">
        <v>7.2</v>
      </c>
      <c r="G187" s="25">
        <v>76450.899999999994</v>
      </c>
      <c r="H187" s="25">
        <v>14625</v>
      </c>
      <c r="I187" s="25">
        <v>816</v>
      </c>
      <c r="J187" s="6">
        <v>11688</v>
      </c>
      <c r="K187" s="6">
        <v>27199</v>
      </c>
      <c r="L187" s="6">
        <v>316.81</v>
      </c>
      <c r="M187" s="6">
        <v>3.4200000000000004</v>
      </c>
      <c r="N187" s="6"/>
      <c r="O187" s="6">
        <v>2.92</v>
      </c>
      <c r="P187" s="25">
        <v>66.211600000000004</v>
      </c>
      <c r="Q187" s="4"/>
      <c r="R187" s="4"/>
      <c r="S187" t="s">
        <v>301</v>
      </c>
      <c r="T187" s="29">
        <v>241.17599999999999</v>
      </c>
      <c r="U187" s="30">
        <f t="shared" si="1"/>
        <v>1.5486446201652182E-2</v>
      </c>
    </row>
    <row r="188" spans="1:21" ht="18.399999999999999" x14ac:dyDescent="0.8">
      <c r="A188" s="1">
        <v>1395</v>
      </c>
      <c r="B188" s="1" t="s">
        <v>294</v>
      </c>
      <c r="C188" s="2" t="s">
        <v>186</v>
      </c>
      <c r="D188" s="11">
        <v>35950</v>
      </c>
      <c r="F188" s="20">
        <v>7.36</v>
      </c>
      <c r="G188" s="25">
        <v>78091.5</v>
      </c>
      <c r="H188" s="25">
        <v>15290.8</v>
      </c>
      <c r="I188" s="25">
        <v>824.5</v>
      </c>
      <c r="J188" s="6">
        <v>12205</v>
      </c>
      <c r="K188" s="6">
        <v>27704</v>
      </c>
      <c r="L188" s="6">
        <v>324.46999999999997</v>
      </c>
      <c r="M188" s="6">
        <v>3.7299999999999995</v>
      </c>
      <c r="N188" s="6"/>
      <c r="O188" s="6">
        <v>3.5700000000000003</v>
      </c>
      <c r="P188" s="25">
        <v>65.728800000000007</v>
      </c>
      <c r="Q188" s="4"/>
      <c r="R188" s="4"/>
      <c r="S188" t="s">
        <v>301</v>
      </c>
      <c r="T188" s="29">
        <v>241.74100000000001</v>
      </c>
      <c r="U188" s="30">
        <f t="shared" si="1"/>
        <v>1.685924966243646E-2</v>
      </c>
    </row>
    <row r="189" spans="1:21" ht="18.399999999999999" x14ac:dyDescent="0.8">
      <c r="A189" s="1">
        <v>1395</v>
      </c>
      <c r="B189" s="1" t="s">
        <v>295</v>
      </c>
      <c r="C189" s="2" t="s">
        <v>187</v>
      </c>
      <c r="D189" s="11">
        <v>36850</v>
      </c>
      <c r="F189" s="20">
        <v>7.42</v>
      </c>
      <c r="G189" s="25">
        <v>79278.600000000006</v>
      </c>
      <c r="H189" s="25">
        <v>15959</v>
      </c>
      <c r="I189" s="25">
        <v>833</v>
      </c>
      <c r="J189" s="6">
        <v>12727</v>
      </c>
      <c r="K189" s="6">
        <v>27975</v>
      </c>
      <c r="L189" s="6">
        <v>331.73</v>
      </c>
      <c r="M189" s="6">
        <v>4.87</v>
      </c>
      <c r="N189" s="6"/>
      <c r="O189" s="6">
        <v>4.46</v>
      </c>
      <c r="P189" s="25">
        <v>65.504400000000004</v>
      </c>
      <c r="Q189" s="4"/>
      <c r="R189" s="4"/>
      <c r="S189" t="s">
        <v>301</v>
      </c>
      <c r="T189" s="29">
        <v>242.02600000000001</v>
      </c>
      <c r="U189" s="30">
        <f t="shared" si="1"/>
        <v>1.6843334719788938E-2</v>
      </c>
    </row>
    <row r="190" spans="1:21" ht="18.399999999999999" x14ac:dyDescent="0.8">
      <c r="A190" s="1">
        <v>1395</v>
      </c>
      <c r="B190" s="1" t="s">
        <v>296</v>
      </c>
      <c r="C190" s="2" t="s">
        <v>188</v>
      </c>
      <c r="D190" s="11">
        <v>39750</v>
      </c>
      <c r="F190" s="20">
        <v>7.51</v>
      </c>
      <c r="G190" s="25">
        <v>80122.7</v>
      </c>
      <c r="H190" s="25">
        <v>15720.2</v>
      </c>
      <c r="I190" s="25">
        <v>868.3</v>
      </c>
      <c r="J190" s="6">
        <v>12514</v>
      </c>
      <c r="K190" s="6">
        <v>28192</v>
      </c>
      <c r="L190" s="6">
        <v>337.37</v>
      </c>
      <c r="M190" s="6">
        <v>3.37</v>
      </c>
      <c r="N190" s="6"/>
      <c r="O190" s="6">
        <v>3.62</v>
      </c>
      <c r="P190" s="25">
        <v>68.081600000000009</v>
      </c>
      <c r="Q190" s="4"/>
      <c r="R190" s="4"/>
      <c r="S190" t="s">
        <v>301</v>
      </c>
      <c r="T190" s="29">
        <v>242.637</v>
      </c>
      <c r="U190" s="30">
        <f t="shared" si="1"/>
        <v>2.0507989115119862E-2</v>
      </c>
    </row>
    <row r="191" spans="1:21" ht="18.399999999999999" x14ac:dyDescent="0.8">
      <c r="A191" s="1">
        <v>1395</v>
      </c>
      <c r="B191" s="1" t="s">
        <v>297</v>
      </c>
      <c r="C191" s="2" t="s">
        <v>189</v>
      </c>
      <c r="D191" s="11">
        <v>37860</v>
      </c>
      <c r="F191" s="20">
        <v>7.55</v>
      </c>
      <c r="G191" s="25">
        <v>79382.2</v>
      </c>
      <c r="H191" s="25">
        <v>15562.7</v>
      </c>
      <c r="I191" s="25">
        <v>845.4</v>
      </c>
      <c r="J191" s="6">
        <v>12361</v>
      </c>
      <c r="K191" s="6">
        <v>27871</v>
      </c>
      <c r="L191" s="6">
        <v>334.37</v>
      </c>
      <c r="M191" s="6">
        <v>3</v>
      </c>
      <c r="N191" s="6"/>
      <c r="O191" s="6">
        <v>3.2600000000000002</v>
      </c>
      <c r="P191" s="25">
        <v>66.000800000000012</v>
      </c>
      <c r="Q191" s="4"/>
      <c r="R191" s="4"/>
      <c r="S191" t="s">
        <v>301</v>
      </c>
      <c r="T191" s="29">
        <v>243.62</v>
      </c>
      <c r="U191" s="30">
        <f t="shared" si="1"/>
        <v>2.5112349149176261E-2</v>
      </c>
    </row>
    <row r="192" spans="1:21" ht="18.399999999999999" x14ac:dyDescent="0.8">
      <c r="A192" s="1">
        <v>1395</v>
      </c>
      <c r="B192" s="1" t="s">
        <v>298</v>
      </c>
      <c r="C192" s="2" t="s">
        <v>190</v>
      </c>
      <c r="D192" s="11">
        <v>38020</v>
      </c>
      <c r="F192" s="20">
        <v>6.82</v>
      </c>
      <c r="G192" s="25">
        <v>77599.100000000006</v>
      </c>
      <c r="H192" s="25">
        <v>15651.3</v>
      </c>
      <c r="I192" s="25">
        <v>852.8</v>
      </c>
      <c r="J192" s="6">
        <v>12393</v>
      </c>
      <c r="K192" s="6">
        <v>27124</v>
      </c>
      <c r="L192" s="6">
        <v>325.79000000000002</v>
      </c>
      <c r="M192" s="6">
        <v>3.66</v>
      </c>
      <c r="N192" s="6"/>
      <c r="O192" s="6">
        <v>6.63</v>
      </c>
      <c r="P192" s="25">
        <v>68.129199999999997</v>
      </c>
      <c r="Q192" s="4"/>
      <c r="R192" s="4"/>
      <c r="S192" t="s">
        <v>301</v>
      </c>
      <c r="T192" s="29">
        <v>243.87200000000001</v>
      </c>
      <c r="U192" s="30">
        <f t="shared" si="1"/>
        <v>2.7539016415545792E-2</v>
      </c>
    </row>
    <row r="193" spans="1:21" ht="18.399999999999999" x14ac:dyDescent="0.8">
      <c r="A193" s="1">
        <v>1395</v>
      </c>
      <c r="B193" s="1" t="s">
        <v>299</v>
      </c>
      <c r="C193" s="2" t="s">
        <v>191</v>
      </c>
      <c r="D193" s="11">
        <v>37300</v>
      </c>
      <c r="F193" s="20">
        <v>6.44</v>
      </c>
      <c r="G193" s="25">
        <v>77230</v>
      </c>
      <c r="H193" s="25">
        <v>15722.8</v>
      </c>
      <c r="I193" s="25">
        <v>875.4</v>
      </c>
      <c r="J193" s="6">
        <v>12379</v>
      </c>
      <c r="K193" s="6">
        <v>26829</v>
      </c>
      <c r="L193" s="6">
        <v>322.04000000000002</v>
      </c>
      <c r="M193" s="6">
        <v>7.57</v>
      </c>
      <c r="N193" s="6"/>
      <c r="O193" s="6">
        <v>5.2</v>
      </c>
      <c r="P193" s="25">
        <v>71.209600000000009</v>
      </c>
      <c r="Q193" s="4"/>
      <c r="R193" s="4"/>
      <c r="S193" t="s">
        <v>301</v>
      </c>
      <c r="T193" s="29">
        <v>243.76599999999999</v>
      </c>
      <c r="U193" s="30">
        <f t="shared" si="1"/>
        <v>2.3882728494623473E-2</v>
      </c>
    </row>
    <row r="194" spans="1:21" ht="18.399999999999999" x14ac:dyDescent="0.8">
      <c r="A194" s="1">
        <v>1396</v>
      </c>
      <c r="B194" s="1" t="s">
        <v>288</v>
      </c>
      <c r="C194" s="2" t="s">
        <v>192</v>
      </c>
      <c r="D194" s="11">
        <v>37490</v>
      </c>
      <c r="F194" s="20">
        <v>6.96</v>
      </c>
      <c r="G194" s="25">
        <v>78651.399999999994</v>
      </c>
      <c r="H194" s="25">
        <v>17091.900000000001</v>
      </c>
      <c r="I194" s="25">
        <v>907.8</v>
      </c>
      <c r="J194" s="6">
        <v>13438</v>
      </c>
      <c r="K194" s="6">
        <v>27304</v>
      </c>
      <c r="L194" s="6">
        <v>328.34000000000003</v>
      </c>
      <c r="M194" s="6">
        <v>3.28</v>
      </c>
      <c r="N194" s="6"/>
      <c r="O194" s="6">
        <v>2.7199999999999998</v>
      </c>
      <c r="P194" s="25">
        <v>74.867999999999995</v>
      </c>
      <c r="Q194" s="4"/>
      <c r="R194" s="4"/>
      <c r="S194" t="s">
        <v>301</v>
      </c>
      <c r="T194" s="29">
        <v>244.274</v>
      </c>
      <c r="U194" s="30">
        <f t="shared" si="1"/>
        <v>2.2101158197763926E-2</v>
      </c>
    </row>
    <row r="195" spans="1:21" ht="18.399999999999999" x14ac:dyDescent="0.8">
      <c r="A195" s="1">
        <v>1396</v>
      </c>
      <c r="B195" s="1" t="s">
        <v>289</v>
      </c>
      <c r="C195" s="2" t="s">
        <v>193</v>
      </c>
      <c r="D195" s="11">
        <v>37340</v>
      </c>
      <c r="F195" s="20">
        <v>7.16</v>
      </c>
      <c r="G195" s="25">
        <v>81194</v>
      </c>
      <c r="H195" s="25">
        <v>17631.7</v>
      </c>
      <c r="I195" s="25">
        <v>926.9</v>
      </c>
      <c r="J195" s="6">
        <v>13783</v>
      </c>
      <c r="K195" s="6">
        <v>27613</v>
      </c>
      <c r="L195" s="6">
        <v>335.95</v>
      </c>
      <c r="M195" s="6">
        <v>7.56</v>
      </c>
      <c r="N195" s="6"/>
      <c r="O195" s="6">
        <v>4.0200000000000005</v>
      </c>
      <c r="P195" s="25">
        <v>74.303600000000017</v>
      </c>
      <c r="Q195" s="4"/>
      <c r="R195" s="4"/>
      <c r="S195" t="s">
        <v>301</v>
      </c>
      <c r="T195" s="29">
        <v>244.06899999999999</v>
      </c>
      <c r="U195" s="30">
        <f t="shared" si="1"/>
        <v>1.8834765838610545E-2</v>
      </c>
    </row>
    <row r="196" spans="1:21" ht="18.399999999999999" x14ac:dyDescent="0.8">
      <c r="A196" s="1">
        <v>1396</v>
      </c>
      <c r="B196" s="1" t="s">
        <v>290</v>
      </c>
      <c r="C196" s="2" t="s">
        <v>194</v>
      </c>
      <c r="D196" s="11">
        <v>37440</v>
      </c>
      <c r="F196" s="20">
        <v>6.98</v>
      </c>
      <c r="G196" s="25">
        <v>78736.2</v>
      </c>
      <c r="H196" s="25">
        <v>16963.599999999999</v>
      </c>
      <c r="I196" s="25">
        <v>903.5</v>
      </c>
      <c r="J196" s="6">
        <v>13097</v>
      </c>
      <c r="K196" s="6">
        <v>26528</v>
      </c>
      <c r="L196" s="6">
        <v>320.14</v>
      </c>
      <c r="M196" s="6">
        <v>2.87</v>
      </c>
      <c r="N196" s="6"/>
      <c r="O196" s="6">
        <v>3.45</v>
      </c>
      <c r="P196" s="25">
        <v>73.433200000000014</v>
      </c>
      <c r="Q196" s="4"/>
      <c r="R196" s="4"/>
      <c r="S196" t="s">
        <v>301</v>
      </c>
      <c r="T196" s="29">
        <v>244.21799999999999</v>
      </c>
      <c r="U196" s="30">
        <f t="shared" si="1"/>
        <v>1.6634612982990626E-2</v>
      </c>
    </row>
    <row r="197" spans="1:21" ht="18.399999999999999" x14ac:dyDescent="0.8">
      <c r="A197" s="1">
        <v>1396</v>
      </c>
      <c r="B197" s="1" t="s">
        <v>291</v>
      </c>
      <c r="C197" s="2" t="s">
        <v>195</v>
      </c>
      <c r="D197" s="11">
        <v>37720</v>
      </c>
      <c r="F197" s="20">
        <v>6.7</v>
      </c>
      <c r="G197" s="25">
        <v>80670.8</v>
      </c>
      <c r="H197" s="25">
        <v>17669.400000000001</v>
      </c>
      <c r="I197" s="25">
        <v>923.8</v>
      </c>
      <c r="J197" s="6">
        <v>13449</v>
      </c>
      <c r="K197" s="6">
        <v>26333</v>
      </c>
      <c r="L197" s="6">
        <v>324.86</v>
      </c>
      <c r="M197" s="6">
        <v>3.2600000000000002</v>
      </c>
      <c r="N197" s="6"/>
      <c r="O197" s="6">
        <v>2.71</v>
      </c>
      <c r="P197" s="25">
        <v>73.916000000000011</v>
      </c>
      <c r="Q197" s="4"/>
      <c r="R197" s="4"/>
      <c r="S197" t="s">
        <v>301</v>
      </c>
      <c r="T197" s="29">
        <v>244.28</v>
      </c>
      <c r="U197" s="30">
        <f t="shared" si="1"/>
        <v>1.740517532205188E-2</v>
      </c>
    </row>
    <row r="198" spans="1:21" ht="18.399999999999999" x14ac:dyDescent="0.8">
      <c r="A198" s="1">
        <v>1396</v>
      </c>
      <c r="B198" s="1" t="s">
        <v>292</v>
      </c>
      <c r="C198" s="2" t="s">
        <v>196</v>
      </c>
      <c r="D198" s="11">
        <v>38300</v>
      </c>
      <c r="F198" s="20">
        <v>6.53</v>
      </c>
      <c r="G198" s="25">
        <v>82372.399999999994</v>
      </c>
      <c r="H198" s="25">
        <v>17703.400000000001</v>
      </c>
      <c r="I198" s="25">
        <v>936.6</v>
      </c>
      <c r="J198" s="6">
        <v>13410</v>
      </c>
      <c r="K198" s="6">
        <v>26691</v>
      </c>
      <c r="L198" s="6">
        <v>325.04000000000002</v>
      </c>
      <c r="M198" s="6">
        <v>4.01</v>
      </c>
      <c r="N198" s="6"/>
      <c r="O198" s="6">
        <v>3.63</v>
      </c>
      <c r="P198" s="25">
        <v>71.345600000000005</v>
      </c>
      <c r="Q198" s="4"/>
      <c r="R198" s="4"/>
      <c r="S198" t="s">
        <v>301</v>
      </c>
      <c r="T198" s="29">
        <v>245.20500000000001</v>
      </c>
      <c r="U198" s="30">
        <f t="shared" si="1"/>
        <v>1.9372674551539237E-2</v>
      </c>
    </row>
    <row r="199" spans="1:21" ht="18.399999999999999" x14ac:dyDescent="0.8">
      <c r="A199" s="1">
        <v>1396</v>
      </c>
      <c r="B199" s="1" t="s">
        <v>293</v>
      </c>
      <c r="C199" s="2" t="s">
        <v>197</v>
      </c>
      <c r="D199" s="11">
        <v>38940</v>
      </c>
      <c r="F199" s="20">
        <v>6.96</v>
      </c>
      <c r="G199" s="25">
        <v>85831.8</v>
      </c>
      <c r="H199" s="25">
        <v>17951</v>
      </c>
      <c r="I199" s="25">
        <v>957.3</v>
      </c>
      <c r="J199" s="6">
        <v>13583</v>
      </c>
      <c r="K199" s="6">
        <v>27734</v>
      </c>
      <c r="L199" s="6">
        <v>339.36</v>
      </c>
      <c r="M199" s="6">
        <v>3.45</v>
      </c>
      <c r="N199" s="6"/>
      <c r="O199" s="6">
        <v>3.8299999999999996</v>
      </c>
      <c r="P199" s="25">
        <v>78.451600000000013</v>
      </c>
      <c r="Q199" s="4"/>
      <c r="R199" s="4"/>
      <c r="S199" t="s">
        <v>301</v>
      </c>
      <c r="T199" s="29">
        <v>246.55099999999999</v>
      </c>
      <c r="U199" s="30">
        <f t="shared" si="1"/>
        <v>2.2286628851958756E-2</v>
      </c>
    </row>
    <row r="200" spans="1:21" ht="18.399999999999999" x14ac:dyDescent="0.8">
      <c r="A200" s="1">
        <v>1396</v>
      </c>
      <c r="B200" s="1" t="s">
        <v>294</v>
      </c>
      <c r="C200" s="2" t="s">
        <v>198</v>
      </c>
      <c r="D200" s="11">
        <v>40120</v>
      </c>
      <c r="F200" s="20">
        <v>6.63</v>
      </c>
      <c r="G200" s="25">
        <v>86480.2</v>
      </c>
      <c r="H200" s="25">
        <v>17576.099999999999</v>
      </c>
      <c r="I200" s="25">
        <v>943.3</v>
      </c>
      <c r="J200" s="6">
        <v>13283</v>
      </c>
      <c r="K200" s="6">
        <v>27915</v>
      </c>
      <c r="L200" s="6">
        <v>346.34000000000003</v>
      </c>
      <c r="M200" s="6">
        <v>3.3</v>
      </c>
      <c r="N200" s="6"/>
      <c r="O200" s="6">
        <v>4.7</v>
      </c>
      <c r="P200" s="25">
        <v>76.282399999999996</v>
      </c>
      <c r="Q200" s="4"/>
      <c r="R200" s="4"/>
      <c r="S200" t="s">
        <v>301</v>
      </c>
      <c r="T200" s="29">
        <v>246.65700000000001</v>
      </c>
      <c r="U200" s="30">
        <f t="shared" si="1"/>
        <v>2.0335813949640347E-2</v>
      </c>
    </row>
    <row r="201" spans="1:21" ht="18.399999999999999" x14ac:dyDescent="0.8">
      <c r="A201" s="1">
        <v>1396</v>
      </c>
      <c r="B201" s="1" t="s">
        <v>295</v>
      </c>
      <c r="C201" s="2" t="s">
        <v>199</v>
      </c>
      <c r="D201" s="11">
        <v>40980</v>
      </c>
      <c r="F201" s="20">
        <v>6.78</v>
      </c>
      <c r="G201" s="25">
        <v>88774.6</v>
      </c>
      <c r="H201" s="25">
        <v>17535</v>
      </c>
      <c r="I201" s="25">
        <v>1012.4</v>
      </c>
      <c r="J201" s="6">
        <v>13230</v>
      </c>
      <c r="K201" s="6">
        <v>28462</v>
      </c>
      <c r="L201" s="6">
        <v>354.27</v>
      </c>
      <c r="M201" s="6">
        <v>3.3899999999999997</v>
      </c>
      <c r="N201" s="6"/>
      <c r="O201" s="6">
        <v>5.59</v>
      </c>
      <c r="P201" s="25">
        <v>79.974800000000002</v>
      </c>
      <c r="Q201" s="4"/>
      <c r="R201" s="4"/>
      <c r="S201" t="s">
        <v>301</v>
      </c>
      <c r="T201" s="29">
        <v>247.37799999999999</v>
      </c>
      <c r="U201" s="30">
        <f t="shared" si="1"/>
        <v>2.2113326667382749E-2</v>
      </c>
    </row>
    <row r="202" spans="1:21" ht="18.399999999999999" x14ac:dyDescent="0.8">
      <c r="A202" s="1">
        <v>1396</v>
      </c>
      <c r="B202" s="1" t="s">
        <v>296</v>
      </c>
      <c r="C202" s="2" t="s">
        <v>200</v>
      </c>
      <c r="D202" s="11">
        <v>41880</v>
      </c>
      <c r="F202" s="20">
        <v>7.06</v>
      </c>
      <c r="G202" s="25">
        <v>95508.6</v>
      </c>
      <c r="H202" s="25">
        <v>17888.3</v>
      </c>
      <c r="I202" s="25">
        <v>1081.8</v>
      </c>
      <c r="J202" s="6">
        <v>13489</v>
      </c>
      <c r="K202" s="6">
        <v>30611</v>
      </c>
      <c r="L202" s="6">
        <v>381.74</v>
      </c>
      <c r="M202" s="6">
        <v>4.63</v>
      </c>
      <c r="N202" s="6"/>
      <c r="O202" s="6">
        <v>5.87</v>
      </c>
      <c r="P202" s="25">
        <v>83.844000000000008</v>
      </c>
      <c r="Q202" s="4"/>
      <c r="R202" s="4"/>
      <c r="S202" t="s">
        <v>301</v>
      </c>
      <c r="T202" s="29">
        <v>247.73599999999999</v>
      </c>
      <c r="U202" s="30">
        <f t="shared" ref="U202:U265" si="2">T202/T190-1</f>
        <v>2.1014931770504841E-2</v>
      </c>
    </row>
    <row r="203" spans="1:21" ht="18.399999999999999" x14ac:dyDescent="0.8">
      <c r="A203" s="1">
        <v>1396</v>
      </c>
      <c r="B203" s="1" t="s">
        <v>297</v>
      </c>
      <c r="C203" s="2" t="s">
        <v>201</v>
      </c>
      <c r="D203" s="11">
        <v>45550</v>
      </c>
      <c r="F203" s="20">
        <v>7.17</v>
      </c>
      <c r="G203" s="25">
        <v>98817.2</v>
      </c>
      <c r="H203" s="25">
        <v>17447.400000000001</v>
      </c>
      <c r="I203" s="25">
        <v>1083.5</v>
      </c>
      <c r="J203" s="6">
        <v>13138</v>
      </c>
      <c r="K203" s="6">
        <v>31577</v>
      </c>
      <c r="L203" s="6">
        <v>393.44</v>
      </c>
      <c r="M203" s="6">
        <v>5.21</v>
      </c>
      <c r="N203" s="6"/>
      <c r="O203" s="6">
        <v>4.2700000000000005</v>
      </c>
      <c r="P203" s="25">
        <v>85.544000000000011</v>
      </c>
      <c r="Q203" s="4"/>
      <c r="R203" s="4"/>
      <c r="S203" t="s">
        <v>301</v>
      </c>
      <c r="T203" s="29">
        <v>248.721</v>
      </c>
      <c r="U203" s="30">
        <f t="shared" si="2"/>
        <v>2.0938346605368974E-2</v>
      </c>
    </row>
    <row r="204" spans="1:21" ht="18.399999999999999" x14ac:dyDescent="0.8">
      <c r="A204" s="1">
        <v>1396</v>
      </c>
      <c r="B204" s="1" t="s">
        <v>298</v>
      </c>
      <c r="C204" s="2" t="s">
        <v>202</v>
      </c>
      <c r="D204" s="11">
        <v>45880</v>
      </c>
      <c r="F204" s="20">
        <v>6.82</v>
      </c>
      <c r="G204" s="25">
        <v>98148.5</v>
      </c>
      <c r="H204" s="25">
        <v>17584.2</v>
      </c>
      <c r="I204" s="25">
        <v>1098.2</v>
      </c>
      <c r="J204" s="6">
        <v>13178</v>
      </c>
      <c r="K204" s="6">
        <v>31292</v>
      </c>
      <c r="L204" s="6">
        <v>390.89</v>
      </c>
      <c r="M204" s="6">
        <v>5.16</v>
      </c>
      <c r="N204" s="6"/>
      <c r="O204" s="6">
        <v>4.3499999999999996</v>
      </c>
      <c r="P204" s="25">
        <v>92.704399999999993</v>
      </c>
      <c r="Q204" s="4"/>
      <c r="R204" s="4"/>
      <c r="S204" t="s">
        <v>301</v>
      </c>
      <c r="T204" s="29">
        <v>249.3</v>
      </c>
      <c r="U204" s="30">
        <f t="shared" si="2"/>
        <v>2.2257577745702584E-2</v>
      </c>
    </row>
    <row r="205" spans="1:21" ht="18.399999999999999" x14ac:dyDescent="0.8">
      <c r="A205" s="1">
        <v>1396</v>
      </c>
      <c r="B205" s="1" t="s">
        <v>299</v>
      </c>
      <c r="C205" s="2" t="s">
        <v>203</v>
      </c>
      <c r="D205" s="11">
        <v>47730</v>
      </c>
      <c r="F205" s="20">
        <v>6.84</v>
      </c>
      <c r="G205" s="25">
        <v>96289.9</v>
      </c>
      <c r="H205" s="25">
        <v>17271.3</v>
      </c>
      <c r="I205" s="25">
        <v>1096.5999999999999</v>
      </c>
      <c r="J205" s="6">
        <v>12855</v>
      </c>
      <c r="K205" s="6">
        <v>30534</v>
      </c>
      <c r="L205" s="6">
        <v>382.41999999999996</v>
      </c>
      <c r="M205" s="6">
        <v>7.7799999999999994</v>
      </c>
      <c r="N205" s="6"/>
      <c r="O205" s="6">
        <v>14.41</v>
      </c>
      <c r="P205" s="6">
        <v>97.509571798857195</v>
      </c>
      <c r="Q205" s="6"/>
      <c r="R205" s="6"/>
      <c r="S205" t="s">
        <v>301</v>
      </c>
      <c r="T205" s="29">
        <v>249.517</v>
      </c>
      <c r="U205" s="30">
        <f t="shared" si="2"/>
        <v>2.3592297531239037E-2</v>
      </c>
    </row>
    <row r="206" spans="1:21" ht="18.399999999999999" x14ac:dyDescent="0.8">
      <c r="A206" s="1">
        <v>1397</v>
      </c>
      <c r="B206" s="1" t="s">
        <v>288</v>
      </c>
      <c r="C206" s="2" t="s">
        <v>204</v>
      </c>
      <c r="D206" s="11">
        <v>58000</v>
      </c>
      <c r="F206" s="20">
        <v>6.41</v>
      </c>
      <c r="G206" s="25">
        <v>95523.8</v>
      </c>
      <c r="H206" s="25">
        <v>16734.8</v>
      </c>
      <c r="I206" s="25">
        <v>1063.8</v>
      </c>
      <c r="J206" s="6">
        <v>12444</v>
      </c>
      <c r="K206" s="6">
        <v>30279</v>
      </c>
      <c r="L206" s="6">
        <v>379.99</v>
      </c>
      <c r="M206" s="6">
        <v>1.67</v>
      </c>
      <c r="N206" s="6">
        <v>0.1734060852432</v>
      </c>
      <c r="O206" s="6">
        <v>2.7600000000000002</v>
      </c>
      <c r="P206" s="6">
        <v>95.424605337551895</v>
      </c>
      <c r="Q206" s="6">
        <v>0.1079285556481</v>
      </c>
      <c r="R206" s="6"/>
      <c r="S206" t="s">
        <v>301</v>
      </c>
      <c r="T206" s="29">
        <v>250.27500000000001</v>
      </c>
      <c r="U206" s="30">
        <f t="shared" si="2"/>
        <v>2.4566675127111415E-2</v>
      </c>
    </row>
    <row r="207" spans="1:21" ht="18.399999999999999" x14ac:dyDescent="0.8">
      <c r="A207" s="1">
        <v>1397</v>
      </c>
      <c r="B207" s="1" t="s">
        <v>289</v>
      </c>
      <c r="C207" s="2" t="s">
        <v>205</v>
      </c>
      <c r="D207" s="11">
        <v>64000</v>
      </c>
      <c r="F207" s="20">
        <v>6.15</v>
      </c>
      <c r="G207" s="25">
        <v>95227.4</v>
      </c>
      <c r="H207" s="25">
        <v>17296.099999999999</v>
      </c>
      <c r="I207" s="25">
        <v>1106.7</v>
      </c>
      <c r="J207" s="6">
        <v>12714</v>
      </c>
      <c r="K207" s="6">
        <v>29678</v>
      </c>
      <c r="L207" s="6">
        <v>372.79</v>
      </c>
      <c r="M207" s="6">
        <v>4.7700000000000005</v>
      </c>
      <c r="N207" s="6">
        <v>0.41290533544769997</v>
      </c>
      <c r="O207" s="6">
        <v>4.29</v>
      </c>
      <c r="P207" s="6">
        <v>95.551479370947689</v>
      </c>
      <c r="Q207" s="6">
        <v>0.16761098503010002</v>
      </c>
      <c r="R207" s="6"/>
      <c r="S207" t="s">
        <v>301</v>
      </c>
      <c r="T207" s="29">
        <v>250.786</v>
      </c>
      <c r="U207" s="30">
        <f t="shared" si="2"/>
        <v>2.7520905973310805E-2</v>
      </c>
    </row>
    <row r="208" spans="1:21" ht="18.399999999999999" x14ac:dyDescent="0.8">
      <c r="A208" s="1">
        <v>1397</v>
      </c>
      <c r="B208" s="1" t="s">
        <v>290</v>
      </c>
      <c r="C208" s="2" t="s">
        <v>206</v>
      </c>
      <c r="D208" s="11">
        <v>75500</v>
      </c>
      <c r="F208" s="20">
        <v>6.64</v>
      </c>
      <c r="G208" s="25">
        <v>108872.9</v>
      </c>
      <c r="H208" s="25">
        <v>18519.7</v>
      </c>
      <c r="I208" s="25">
        <v>1241.5999999999999</v>
      </c>
      <c r="J208" s="6">
        <v>13414</v>
      </c>
      <c r="K208" s="6">
        <v>33291</v>
      </c>
      <c r="L208" s="6">
        <v>421.27</v>
      </c>
      <c r="M208" s="6">
        <v>5.7700000000000005</v>
      </c>
      <c r="N208" s="6">
        <v>0.3803800701001</v>
      </c>
      <c r="O208" s="6">
        <v>4.1399999999999997</v>
      </c>
      <c r="P208" s="6">
        <v>103.832234308894</v>
      </c>
      <c r="Q208" s="6">
        <v>0.28627317519430001</v>
      </c>
      <c r="R208" s="6"/>
      <c r="S208" t="s">
        <v>301</v>
      </c>
      <c r="T208" s="29">
        <v>251.15199999999999</v>
      </c>
      <c r="U208" s="30">
        <f t="shared" si="2"/>
        <v>2.8392665569286546E-2</v>
      </c>
    </row>
    <row r="209" spans="1:21" ht="18.399999999999999" x14ac:dyDescent="0.8">
      <c r="A209" s="1">
        <v>1397</v>
      </c>
      <c r="B209" s="1" t="s">
        <v>291</v>
      </c>
      <c r="C209" s="2" t="s">
        <v>207</v>
      </c>
      <c r="D209" s="11">
        <v>90500</v>
      </c>
      <c r="F209" s="20">
        <v>6.34</v>
      </c>
      <c r="G209" s="25">
        <v>108830.8</v>
      </c>
      <c r="H209" s="25">
        <v>18438.5</v>
      </c>
      <c r="I209" s="25">
        <v>1222.3</v>
      </c>
      <c r="J209" s="6">
        <v>13067</v>
      </c>
      <c r="K209" s="6">
        <v>31930</v>
      </c>
      <c r="L209" s="6">
        <v>425.08000000000004</v>
      </c>
      <c r="M209" s="6">
        <v>8.39</v>
      </c>
      <c r="N209" s="6">
        <v>0.32537903288199999</v>
      </c>
      <c r="O209" s="6">
        <v>5.92</v>
      </c>
      <c r="P209" s="6">
        <v>100.94350804476501</v>
      </c>
      <c r="Q209" s="6">
        <v>0.38906381002860002</v>
      </c>
      <c r="R209" s="6"/>
      <c r="S209" t="s">
        <v>301</v>
      </c>
      <c r="T209" s="29">
        <v>251.345</v>
      </c>
      <c r="U209" s="30">
        <f t="shared" si="2"/>
        <v>2.8921729163255305E-2</v>
      </c>
    </row>
    <row r="210" spans="1:21" ht="18.399999999999999" x14ac:dyDescent="0.8">
      <c r="A210" s="1">
        <v>1397</v>
      </c>
      <c r="B210" s="1" t="s">
        <v>292</v>
      </c>
      <c r="C210" s="2" t="s">
        <v>208</v>
      </c>
      <c r="D210" s="11">
        <v>106000</v>
      </c>
      <c r="E210" s="16"/>
      <c r="F210" s="20">
        <v>7.81</v>
      </c>
      <c r="G210" s="25">
        <v>136910.6</v>
      </c>
      <c r="H210" s="25">
        <v>20050.900000000001</v>
      </c>
      <c r="I210" s="25">
        <v>1553.3</v>
      </c>
      <c r="J210" s="6">
        <v>14190</v>
      </c>
      <c r="K210" s="6">
        <v>40141</v>
      </c>
      <c r="L210" s="6">
        <v>523.16999999999996</v>
      </c>
      <c r="M210" s="6">
        <v>13.319999999999999</v>
      </c>
      <c r="N210" s="6">
        <v>0.42377409032479996</v>
      </c>
      <c r="O210" s="6">
        <v>9.15</v>
      </c>
      <c r="P210" s="6">
        <v>120.068134989664</v>
      </c>
      <c r="Q210" s="6">
        <v>0.40659913402100001</v>
      </c>
      <c r="R210" s="6"/>
      <c r="S210" t="s">
        <v>301</v>
      </c>
      <c r="T210" s="29">
        <v>251.73500000000001</v>
      </c>
      <c r="U210" s="30">
        <f t="shared" si="2"/>
        <v>2.663077832833749E-2</v>
      </c>
    </row>
    <row r="211" spans="1:21" ht="18.399999999999999" x14ac:dyDescent="0.8">
      <c r="A211" s="1">
        <v>1397</v>
      </c>
      <c r="B211" s="1" t="s">
        <v>293</v>
      </c>
      <c r="C211" s="2" t="s">
        <v>209</v>
      </c>
      <c r="D211" s="11">
        <v>145000</v>
      </c>
      <c r="E211" s="16"/>
      <c r="F211" s="20">
        <v>9.5</v>
      </c>
      <c r="G211" s="25">
        <v>160538.20000000001</v>
      </c>
      <c r="H211" s="25">
        <v>27930.5</v>
      </c>
      <c r="I211" s="25">
        <v>1878.7</v>
      </c>
      <c r="J211" s="6">
        <v>19740</v>
      </c>
      <c r="K211" s="6">
        <v>46920</v>
      </c>
      <c r="L211" s="6">
        <v>612.41000000000008</v>
      </c>
      <c r="M211" s="6">
        <v>16.75</v>
      </c>
      <c r="N211" s="6">
        <v>0.50885928291180005</v>
      </c>
      <c r="O211" s="6">
        <v>10.55</v>
      </c>
      <c r="P211" s="6">
        <v>152.51351193354</v>
      </c>
      <c r="Q211" s="6">
        <v>0.42946188475370006</v>
      </c>
      <c r="R211" s="6"/>
      <c r="S211" t="s">
        <v>301</v>
      </c>
      <c r="T211" s="29">
        <v>252.18299999999999</v>
      </c>
      <c r="U211" s="30">
        <f t="shared" si="2"/>
        <v>2.2843144014828676E-2</v>
      </c>
    </row>
    <row r="212" spans="1:21" ht="18.399999999999999" x14ac:dyDescent="0.8">
      <c r="A212" s="1">
        <v>1397</v>
      </c>
      <c r="B212" s="1" t="s">
        <v>294</v>
      </c>
      <c r="C212" s="2" t="s">
        <v>210</v>
      </c>
      <c r="D212" s="11">
        <v>140000</v>
      </c>
      <c r="E212" s="16"/>
      <c r="F212" s="20">
        <v>10.75</v>
      </c>
      <c r="G212" s="25">
        <v>187778.9</v>
      </c>
      <c r="H212" s="25">
        <v>28941.5</v>
      </c>
      <c r="I212" s="25">
        <v>2102.4</v>
      </c>
      <c r="J212" s="6">
        <v>20435</v>
      </c>
      <c r="K212" s="6">
        <v>54695</v>
      </c>
      <c r="L212" s="6">
        <v>716.27</v>
      </c>
      <c r="M212" s="6">
        <v>29.48</v>
      </c>
      <c r="N212" s="6">
        <v>1.0009917172675</v>
      </c>
      <c r="O212" s="6">
        <v>14.959999999999999</v>
      </c>
      <c r="P212" s="6">
        <v>166.00640839125001</v>
      </c>
      <c r="Q212" s="6">
        <v>0.95032369235150005</v>
      </c>
      <c r="R212" s="6"/>
      <c r="S212" t="s">
        <v>301</v>
      </c>
      <c r="T212" s="29">
        <v>252.899</v>
      </c>
      <c r="U212" s="30">
        <f t="shared" si="2"/>
        <v>2.5306397142590642E-2</v>
      </c>
    </row>
    <row r="213" spans="1:21" ht="18.399999999999999" x14ac:dyDescent="0.8">
      <c r="A213" s="1">
        <v>1397</v>
      </c>
      <c r="B213" s="1" t="s">
        <v>295</v>
      </c>
      <c r="C213" s="2" t="s">
        <v>211</v>
      </c>
      <c r="D213" s="11">
        <v>131000</v>
      </c>
      <c r="E213" s="16">
        <v>90431.428571428565</v>
      </c>
      <c r="F213" s="20">
        <v>9.98</v>
      </c>
      <c r="G213" s="25">
        <v>175713.2</v>
      </c>
      <c r="H213" s="25">
        <v>28164.7</v>
      </c>
      <c r="I213" s="25">
        <v>1907.9</v>
      </c>
      <c r="J213" s="6">
        <v>19857</v>
      </c>
      <c r="K213" s="6">
        <v>51172</v>
      </c>
      <c r="L213" s="6">
        <v>668.13</v>
      </c>
      <c r="M213" s="6">
        <v>14.09</v>
      </c>
      <c r="N213" s="6">
        <v>0.45963821762109996</v>
      </c>
      <c r="O213" s="6">
        <v>8.5400000000000009</v>
      </c>
      <c r="P213" s="6">
        <v>163.75573221937501</v>
      </c>
      <c r="Q213" s="6">
        <v>0.77154659978490003</v>
      </c>
      <c r="R213" s="6"/>
      <c r="S213" t="s">
        <v>301</v>
      </c>
      <c r="T213" s="29">
        <v>252.822</v>
      </c>
      <c r="U213" s="30">
        <f t="shared" si="2"/>
        <v>2.2006807395968941E-2</v>
      </c>
    </row>
    <row r="214" spans="1:21" ht="18.399999999999999" x14ac:dyDescent="0.8">
      <c r="A214" s="1">
        <v>1397</v>
      </c>
      <c r="B214" s="1" t="s">
        <v>296</v>
      </c>
      <c r="C214" s="2" t="s">
        <v>212</v>
      </c>
      <c r="D214" s="11">
        <v>103500</v>
      </c>
      <c r="E214" s="16">
        <v>90489.266666666663</v>
      </c>
      <c r="F214" s="20">
        <v>7.09</v>
      </c>
      <c r="G214" s="25">
        <v>156083.20000000001</v>
      </c>
      <c r="H214" s="25">
        <v>26636.799999999999</v>
      </c>
      <c r="I214" s="25">
        <v>1791</v>
      </c>
      <c r="J214" s="6">
        <v>18760</v>
      </c>
      <c r="K214" s="6">
        <v>45373</v>
      </c>
      <c r="L214" s="6">
        <v>592.43000000000006</v>
      </c>
      <c r="M214" s="6">
        <v>7.57</v>
      </c>
      <c r="N214" s="6">
        <v>0.3644723007149</v>
      </c>
      <c r="O214" s="6">
        <v>8.23</v>
      </c>
      <c r="P214" s="6">
        <v>151.78635352758701</v>
      </c>
      <c r="Q214" s="6">
        <v>0.5290295237874999</v>
      </c>
      <c r="R214" s="6"/>
      <c r="S214" t="s">
        <v>301</v>
      </c>
      <c r="T214" s="29">
        <v>252.49299999999999</v>
      </c>
      <c r="U214" s="30">
        <f t="shared" si="2"/>
        <v>1.9201892337003867E-2</v>
      </c>
    </row>
    <row r="215" spans="1:21" ht="18.399999999999999" x14ac:dyDescent="0.8">
      <c r="A215" s="1">
        <v>1397</v>
      </c>
      <c r="B215" s="1" t="s">
        <v>297</v>
      </c>
      <c r="C215" s="2" t="s">
        <v>213</v>
      </c>
      <c r="D215" s="11">
        <v>122000</v>
      </c>
      <c r="E215" s="16">
        <v>89252.160000000003</v>
      </c>
      <c r="F215" s="20">
        <v>6.86</v>
      </c>
      <c r="G215" s="25">
        <v>165575.1</v>
      </c>
      <c r="H215" s="25">
        <v>29335</v>
      </c>
      <c r="I215" s="25">
        <v>1992.1</v>
      </c>
      <c r="J215" s="6">
        <v>20632</v>
      </c>
      <c r="K215" s="6">
        <v>48000</v>
      </c>
      <c r="L215" s="6">
        <v>627.36</v>
      </c>
      <c r="M215" s="6">
        <v>13.290000000000001</v>
      </c>
      <c r="N215" s="6">
        <v>0.60811560223630001</v>
      </c>
      <c r="O215" s="6">
        <v>8.9599999999999991</v>
      </c>
      <c r="P215" s="6">
        <v>167.195329198927</v>
      </c>
      <c r="Q215" s="6">
        <v>0.59792423119969995</v>
      </c>
      <c r="R215" s="6"/>
      <c r="S215" t="s">
        <v>301</v>
      </c>
      <c r="T215" s="29">
        <v>252.441</v>
      </c>
      <c r="U215" s="30">
        <f t="shared" si="2"/>
        <v>1.4956517543753822E-2</v>
      </c>
    </row>
    <row r="216" spans="1:21" ht="18.399999999999999" x14ac:dyDescent="0.8">
      <c r="A216" s="1">
        <v>1397</v>
      </c>
      <c r="B216" s="1" t="s">
        <v>298</v>
      </c>
      <c r="C216" s="2" t="s">
        <v>214</v>
      </c>
      <c r="D216" s="11">
        <v>133000</v>
      </c>
      <c r="E216" s="16">
        <v>85406.25</v>
      </c>
      <c r="F216" s="20">
        <v>6.12</v>
      </c>
      <c r="G216" s="25">
        <v>157387.5</v>
      </c>
      <c r="H216" s="25">
        <v>29756.400000000001</v>
      </c>
      <c r="I216" s="25">
        <v>1965.2</v>
      </c>
      <c r="J216" s="6">
        <v>20863</v>
      </c>
      <c r="K216" s="6">
        <v>45590</v>
      </c>
      <c r="L216" s="6">
        <v>601.53</v>
      </c>
      <c r="M216" s="6">
        <v>9.08</v>
      </c>
      <c r="N216" s="6">
        <v>0.3674589066499</v>
      </c>
      <c r="O216" s="6">
        <v>9.51</v>
      </c>
      <c r="P216" s="6">
        <v>161.80702835207799</v>
      </c>
      <c r="Q216" s="6">
        <v>0.62855808833310001</v>
      </c>
      <c r="R216" s="6"/>
      <c r="S216" t="s">
        <v>301</v>
      </c>
      <c r="T216" s="29">
        <v>252.96899999999999</v>
      </c>
      <c r="U216" s="30">
        <f t="shared" si="2"/>
        <v>1.4717208182912112E-2</v>
      </c>
    </row>
    <row r="217" spans="1:21" ht="18.399999999999999" x14ac:dyDescent="0.8">
      <c r="A217" s="1">
        <v>1397</v>
      </c>
      <c r="B217" s="1" t="s">
        <v>299</v>
      </c>
      <c r="C217" s="2" t="s">
        <v>215</v>
      </c>
      <c r="D217" s="11">
        <v>135000</v>
      </c>
      <c r="E217" s="16">
        <v>89693.71428571429</v>
      </c>
      <c r="F217" s="20">
        <v>6.88</v>
      </c>
      <c r="G217" s="25">
        <v>178659.1</v>
      </c>
      <c r="H217" s="25">
        <v>32968.699999999997</v>
      </c>
      <c r="I217" s="25">
        <v>2257.9</v>
      </c>
      <c r="J217" s="6">
        <v>23012</v>
      </c>
      <c r="K217" s="6">
        <v>51523</v>
      </c>
      <c r="L217" s="6">
        <v>682.88</v>
      </c>
      <c r="M217" s="6">
        <v>16.54</v>
      </c>
      <c r="N217" s="6">
        <v>1.2034015400820002</v>
      </c>
      <c r="O217" s="6">
        <v>14.709999999999999</v>
      </c>
      <c r="P217" s="6">
        <v>182.00939918760901</v>
      </c>
      <c r="Q217" s="6">
        <v>0.91463713068680019</v>
      </c>
      <c r="R217" s="6"/>
      <c r="S217" t="s">
        <v>301</v>
      </c>
      <c r="T217" s="29">
        <v>254.14699999999999</v>
      </c>
      <c r="U217" s="30">
        <f t="shared" si="2"/>
        <v>1.8555849902010646E-2</v>
      </c>
    </row>
    <row r="218" spans="1:21" ht="18.399999999999999" x14ac:dyDescent="0.8">
      <c r="A218" s="1">
        <v>1398</v>
      </c>
      <c r="B218" s="1" t="s">
        <v>288</v>
      </c>
      <c r="C218" s="2" t="s">
        <v>216</v>
      </c>
      <c r="D218" s="11">
        <v>137000</v>
      </c>
      <c r="E218" s="16">
        <v>93168</v>
      </c>
      <c r="F218" s="20">
        <v>8.11</v>
      </c>
      <c r="G218" s="25">
        <v>204375.3</v>
      </c>
      <c r="H218" s="25">
        <v>40652.6</v>
      </c>
      <c r="I218" s="25">
        <v>2477.8000000000002</v>
      </c>
      <c r="J218" s="6">
        <v>28325</v>
      </c>
      <c r="K218" s="6">
        <v>58900</v>
      </c>
      <c r="L218" s="6">
        <v>783.1</v>
      </c>
      <c r="M218" s="6">
        <v>15.02</v>
      </c>
      <c r="N218" s="6">
        <v>0.88421831382399996</v>
      </c>
      <c r="O218" s="6">
        <v>7.67</v>
      </c>
      <c r="P218" s="6">
        <v>202.67094548518699</v>
      </c>
      <c r="Q218" s="6">
        <v>0.67307356657709994</v>
      </c>
      <c r="R218" s="6"/>
      <c r="S218" t="s">
        <v>301</v>
      </c>
      <c r="T218" s="29">
        <v>255.32599999999999</v>
      </c>
      <c r="U218" s="30">
        <f t="shared" si="2"/>
        <v>2.0181800019978047E-2</v>
      </c>
    </row>
    <row r="219" spans="1:21" ht="18.399999999999999" x14ac:dyDescent="0.8">
      <c r="A219" s="1">
        <v>1398</v>
      </c>
      <c r="B219" s="1" t="s">
        <v>289</v>
      </c>
      <c r="C219" s="2" t="s">
        <v>217</v>
      </c>
      <c r="D219" s="11">
        <v>143000</v>
      </c>
      <c r="E219" s="16">
        <v>110107</v>
      </c>
      <c r="F219" s="20">
        <v>7.71</v>
      </c>
      <c r="G219" s="25">
        <v>215091.6</v>
      </c>
      <c r="H219" s="25">
        <v>47534.9</v>
      </c>
      <c r="I219" s="25">
        <v>2644.4</v>
      </c>
      <c r="J219" s="6">
        <v>32921</v>
      </c>
      <c r="K219" s="6">
        <v>61643</v>
      </c>
      <c r="L219" s="6">
        <v>824.16000000000008</v>
      </c>
      <c r="M219" s="6">
        <v>27.939999999999998</v>
      </c>
      <c r="N219" s="6">
        <v>1.4319145159372</v>
      </c>
      <c r="O219" s="6">
        <v>14.719999999999999</v>
      </c>
      <c r="P219" s="6">
        <v>214.43800610924001</v>
      </c>
      <c r="Q219" s="6">
        <v>1.2681049628948999</v>
      </c>
      <c r="R219" s="6"/>
      <c r="S219" t="s">
        <v>301</v>
      </c>
      <c r="T219" s="29">
        <v>255.37100000000001</v>
      </c>
      <c r="U219" s="30">
        <f t="shared" si="2"/>
        <v>1.828251975788131E-2</v>
      </c>
    </row>
    <row r="220" spans="1:21" ht="18.399999999999999" x14ac:dyDescent="0.8">
      <c r="A220" s="1">
        <v>1398</v>
      </c>
      <c r="B220" s="1" t="s">
        <v>290</v>
      </c>
      <c r="C220" s="2" t="s">
        <v>218</v>
      </c>
      <c r="D220" s="11">
        <v>134500</v>
      </c>
      <c r="E220" s="16">
        <v>111777</v>
      </c>
      <c r="F220" s="20">
        <v>7.96</v>
      </c>
      <c r="G220" s="25">
        <v>234879.4</v>
      </c>
      <c r="H220" s="25">
        <v>56261.3</v>
      </c>
      <c r="I220" s="25">
        <v>2978.1</v>
      </c>
      <c r="J220" s="6">
        <v>38496</v>
      </c>
      <c r="K220" s="6">
        <v>66451</v>
      </c>
      <c r="L220" s="6">
        <v>893.32</v>
      </c>
      <c r="M220" s="6">
        <v>24.56</v>
      </c>
      <c r="N220" s="6">
        <v>1.1431917901421</v>
      </c>
      <c r="O220" s="6">
        <v>14.709999999999999</v>
      </c>
      <c r="P220" s="6">
        <v>237.07787300829099</v>
      </c>
      <c r="Q220" s="6">
        <v>1.0551280393988001</v>
      </c>
      <c r="R220" s="6"/>
      <c r="S220" t="s">
        <v>301</v>
      </c>
      <c r="T220" s="29">
        <v>255.423</v>
      </c>
      <c r="U220" s="30">
        <f t="shared" si="2"/>
        <v>1.7005638020003877E-2</v>
      </c>
    </row>
    <row r="221" spans="1:21" ht="18.399999999999999" x14ac:dyDescent="0.8">
      <c r="A221" s="1">
        <v>1398</v>
      </c>
      <c r="B221" s="1" t="s">
        <v>291</v>
      </c>
      <c r="C221" s="2" t="s">
        <v>219</v>
      </c>
      <c r="D221" s="11">
        <v>123500</v>
      </c>
      <c r="E221" s="16">
        <v>115845</v>
      </c>
      <c r="F221" s="20">
        <v>6.55</v>
      </c>
      <c r="G221" s="25">
        <v>253056.8</v>
      </c>
      <c r="H221" s="25">
        <v>60369.2</v>
      </c>
      <c r="I221" s="25">
        <v>3274.8</v>
      </c>
      <c r="J221" s="6">
        <v>40644</v>
      </c>
      <c r="K221" s="6">
        <v>68698</v>
      </c>
      <c r="L221" s="6">
        <v>943.25</v>
      </c>
      <c r="M221" s="6">
        <v>23.419999999999998</v>
      </c>
      <c r="N221" s="6">
        <v>1.7089625046422001</v>
      </c>
      <c r="O221" s="6">
        <v>18.100000000000001</v>
      </c>
      <c r="P221" s="6">
        <v>262.42509905882997</v>
      </c>
      <c r="Q221" s="6">
        <v>1.2314455255632</v>
      </c>
      <c r="R221" s="6"/>
      <c r="S221" t="s">
        <v>301</v>
      </c>
      <c r="T221" s="29">
        <v>255.92500000000001</v>
      </c>
      <c r="U221" s="30">
        <f t="shared" si="2"/>
        <v>1.8221965823867592E-2</v>
      </c>
    </row>
    <row r="222" spans="1:21" ht="18.399999999999999" x14ac:dyDescent="0.8">
      <c r="A222" s="1">
        <v>1398</v>
      </c>
      <c r="B222" s="1" t="s">
        <v>292</v>
      </c>
      <c r="C222" s="2" t="s">
        <v>220</v>
      </c>
      <c r="D222" s="11">
        <v>117300</v>
      </c>
      <c r="E222" s="16">
        <v>112913</v>
      </c>
      <c r="F222" s="20">
        <v>6.05</v>
      </c>
      <c r="G222" s="25">
        <v>266127.2</v>
      </c>
      <c r="H222" s="25">
        <v>72125.399999999994</v>
      </c>
      <c r="I222" s="25">
        <v>3579.3</v>
      </c>
      <c r="J222" s="6">
        <v>48340</v>
      </c>
      <c r="K222" s="6">
        <v>71895</v>
      </c>
      <c r="L222" s="6">
        <v>979.75</v>
      </c>
      <c r="M222" s="6">
        <v>20.119999999999997</v>
      </c>
      <c r="N222" s="6">
        <v>0.73361957166479996</v>
      </c>
      <c r="O222" s="6">
        <v>18.23</v>
      </c>
      <c r="P222" s="6">
        <v>292.75441941958002</v>
      </c>
      <c r="Q222" s="6">
        <v>0.89727276556910007</v>
      </c>
      <c r="R222" s="6"/>
      <c r="S222" t="s">
        <v>301</v>
      </c>
      <c r="T222" s="29">
        <v>256.11799999999999</v>
      </c>
      <c r="U222" s="30">
        <f t="shared" si="2"/>
        <v>1.7411166504458953E-2</v>
      </c>
    </row>
    <row r="223" spans="1:21" ht="18.399999999999999" x14ac:dyDescent="0.8">
      <c r="A223" s="1">
        <v>1398</v>
      </c>
      <c r="B223" s="1" t="s">
        <v>293</v>
      </c>
      <c r="C223" s="2" t="s">
        <v>221</v>
      </c>
      <c r="D223" s="11">
        <v>115000</v>
      </c>
      <c r="E223" s="16">
        <v>108900</v>
      </c>
      <c r="F223" s="20">
        <v>6.56</v>
      </c>
      <c r="G223" s="25">
        <v>302103.59999999998</v>
      </c>
      <c r="H223" s="25">
        <v>87852.4</v>
      </c>
      <c r="I223" s="25">
        <v>4017</v>
      </c>
      <c r="J223" s="6">
        <v>58808</v>
      </c>
      <c r="K223" s="6">
        <v>81197</v>
      </c>
      <c r="L223" s="6">
        <v>1104.54</v>
      </c>
      <c r="M223" s="6">
        <v>33.5</v>
      </c>
      <c r="N223" s="6">
        <v>2.6061564190990003</v>
      </c>
      <c r="O223" s="6">
        <v>21</v>
      </c>
      <c r="P223" s="6">
        <v>313.66591488258098</v>
      </c>
      <c r="Q223" s="6">
        <v>1.4819111547191999</v>
      </c>
      <c r="R223" s="6"/>
      <c r="S223" t="s">
        <v>301</v>
      </c>
      <c r="T223" s="29">
        <v>256.53199999999998</v>
      </c>
      <c r="U223" s="30">
        <f t="shared" si="2"/>
        <v>1.7245413053219139E-2</v>
      </c>
    </row>
    <row r="224" spans="1:21" ht="18.399999999999999" x14ac:dyDescent="0.8">
      <c r="A224" s="1">
        <v>1398</v>
      </c>
      <c r="B224" s="1" t="s">
        <v>294</v>
      </c>
      <c r="C224" s="2" t="s">
        <v>222</v>
      </c>
      <c r="D224" s="11">
        <v>114000</v>
      </c>
      <c r="E224" s="16">
        <v>107416</v>
      </c>
      <c r="F224" s="20">
        <v>6.84</v>
      </c>
      <c r="G224" s="25">
        <v>308314.90000000002</v>
      </c>
      <c r="H224" s="25">
        <v>81993.399999999994</v>
      </c>
      <c r="I224" s="25">
        <v>3804.9</v>
      </c>
      <c r="J224" s="6">
        <v>54848</v>
      </c>
      <c r="K224" s="6">
        <v>82607</v>
      </c>
      <c r="L224" s="6">
        <v>1124.8600000000001</v>
      </c>
      <c r="M224" s="6">
        <v>39.369999999999997</v>
      </c>
      <c r="N224" s="6">
        <v>3.3900867798560994</v>
      </c>
      <c r="O224" s="6">
        <v>26.060000000000002</v>
      </c>
      <c r="P224" s="6">
        <v>302.57247481017697</v>
      </c>
      <c r="Q224" s="6">
        <v>1.6643196317279998</v>
      </c>
      <c r="R224" s="6"/>
      <c r="S224" t="s">
        <v>301</v>
      </c>
      <c r="T224" s="29">
        <v>257.387</v>
      </c>
      <c r="U224" s="30">
        <f t="shared" si="2"/>
        <v>1.7746214892111034E-2</v>
      </c>
    </row>
    <row r="225" spans="1:21" ht="18.399999999999999" x14ac:dyDescent="0.8">
      <c r="A225" s="1">
        <v>1398</v>
      </c>
      <c r="B225" s="1" t="s">
        <v>295</v>
      </c>
      <c r="C225" s="2" t="s">
        <v>223</v>
      </c>
      <c r="D225" s="11">
        <v>119500</v>
      </c>
      <c r="E225" s="16">
        <v>107390</v>
      </c>
      <c r="F225" s="20">
        <v>6.51</v>
      </c>
      <c r="G225" s="25">
        <v>304997</v>
      </c>
      <c r="H225" s="25">
        <v>87779.5</v>
      </c>
      <c r="I225" s="25">
        <v>3950.1</v>
      </c>
      <c r="J225" s="6">
        <v>58685</v>
      </c>
      <c r="K225" s="6">
        <v>81709</v>
      </c>
      <c r="L225" s="6">
        <v>1112.58</v>
      </c>
      <c r="M225" s="6">
        <v>21.990000000000002</v>
      </c>
      <c r="N225" s="6">
        <v>2.2887122665574</v>
      </c>
      <c r="O225" s="6">
        <v>17.059999999999999</v>
      </c>
      <c r="P225" s="6">
        <v>317.120320079816</v>
      </c>
      <c r="Q225" s="6">
        <v>0.78251877376640011</v>
      </c>
      <c r="R225" s="6"/>
      <c r="S225" t="s">
        <v>301</v>
      </c>
      <c r="T225" s="29">
        <v>257.98899999999998</v>
      </c>
      <c r="U225" s="30">
        <f t="shared" si="2"/>
        <v>2.0437303715657551E-2</v>
      </c>
    </row>
    <row r="226" spans="1:21" ht="18.399999999999999" x14ac:dyDescent="0.8">
      <c r="A226" s="1">
        <v>1398</v>
      </c>
      <c r="B226" s="1" t="s">
        <v>296</v>
      </c>
      <c r="C226" s="2" t="s">
        <v>224</v>
      </c>
      <c r="D226" s="11">
        <v>133200</v>
      </c>
      <c r="E226" s="16">
        <v>112688</v>
      </c>
      <c r="F226" s="20">
        <v>7.53</v>
      </c>
      <c r="G226" s="25">
        <v>353996.7</v>
      </c>
      <c r="H226" s="25">
        <v>111891</v>
      </c>
      <c r="I226" s="25">
        <v>4559</v>
      </c>
      <c r="J226" s="6">
        <v>74727</v>
      </c>
      <c r="K226" s="6">
        <v>94716</v>
      </c>
      <c r="L226" s="6">
        <v>1291.56</v>
      </c>
      <c r="M226" s="6">
        <v>39.03</v>
      </c>
      <c r="N226" s="6">
        <v>3.8407461727105998</v>
      </c>
      <c r="O226" s="6">
        <v>33.230000000000004</v>
      </c>
      <c r="P226" s="6">
        <v>378.37694040066998</v>
      </c>
      <c r="Q226" s="6">
        <v>1.363002360751</v>
      </c>
      <c r="R226" s="6"/>
      <c r="S226" t="s">
        <v>301</v>
      </c>
      <c r="T226" s="29">
        <v>258.20299999999997</v>
      </c>
      <c r="U226" s="30">
        <f t="shared" si="2"/>
        <v>2.2614488322448389E-2</v>
      </c>
    </row>
    <row r="227" spans="1:21" ht="18.399999999999999" x14ac:dyDescent="0.8">
      <c r="A227" s="1">
        <v>1398</v>
      </c>
      <c r="B227" s="1" t="s">
        <v>297</v>
      </c>
      <c r="C227" s="2" t="s">
        <v>225</v>
      </c>
      <c r="D227" s="11">
        <v>135500</v>
      </c>
      <c r="E227" s="16">
        <v>120452</v>
      </c>
      <c r="F227" s="20">
        <v>8.2200000000000006</v>
      </c>
      <c r="G227" s="25">
        <v>409807.8</v>
      </c>
      <c r="H227" s="25">
        <v>128090</v>
      </c>
      <c r="I227" s="25">
        <v>5301</v>
      </c>
      <c r="J227" s="6">
        <v>85456</v>
      </c>
      <c r="K227" s="6">
        <v>109369</v>
      </c>
      <c r="L227" s="6">
        <v>1490.27</v>
      </c>
      <c r="M227" s="6">
        <v>58.29</v>
      </c>
      <c r="N227" s="6">
        <v>5.2604645273928003</v>
      </c>
      <c r="O227" s="6">
        <v>24.024201387060199</v>
      </c>
      <c r="P227" s="6">
        <v>452.46862490818796</v>
      </c>
      <c r="Q227" s="6">
        <v>1.7879643273780998</v>
      </c>
      <c r="R227" s="6"/>
      <c r="S227" t="s">
        <v>301</v>
      </c>
      <c r="T227" s="29">
        <v>258.68700000000001</v>
      </c>
      <c r="U227" s="30">
        <f t="shared" si="2"/>
        <v>2.4742415059360479E-2</v>
      </c>
    </row>
    <row r="228" spans="1:21" ht="18.399999999999999" x14ac:dyDescent="0.8">
      <c r="A228" s="1">
        <v>1398</v>
      </c>
      <c r="B228" s="1" t="s">
        <v>298</v>
      </c>
      <c r="C228" s="2" t="s">
        <v>226</v>
      </c>
      <c r="D228" s="11">
        <v>144000</v>
      </c>
      <c r="E228" s="16">
        <v>128424</v>
      </c>
      <c r="F228" s="20">
        <v>9.67</v>
      </c>
      <c r="G228" s="25">
        <v>478755.7</v>
      </c>
      <c r="H228" s="25">
        <v>155685</v>
      </c>
      <c r="I228" s="25">
        <v>6206.7</v>
      </c>
      <c r="J228" s="6">
        <v>103707</v>
      </c>
      <c r="K228" s="6">
        <v>127714</v>
      </c>
      <c r="L228" s="6">
        <v>1742</v>
      </c>
      <c r="M228" s="6">
        <v>76.239999999999995</v>
      </c>
      <c r="N228" s="6">
        <v>5.1677543358101001</v>
      </c>
      <c r="O228" s="6">
        <v>35.829813087893605</v>
      </c>
      <c r="P228" s="6">
        <v>539.10025995821502</v>
      </c>
      <c r="Q228" s="6">
        <v>2.2200425611088002</v>
      </c>
      <c r="R228" s="6"/>
      <c r="S228" t="s">
        <v>301</v>
      </c>
      <c r="T228" s="29">
        <v>258.82400000000001</v>
      </c>
      <c r="U228" s="30">
        <f t="shared" si="2"/>
        <v>2.3145128454474806E-2</v>
      </c>
    </row>
    <row r="229" spans="1:21" ht="18.399999999999999" x14ac:dyDescent="0.8">
      <c r="A229" s="1">
        <v>1398</v>
      </c>
      <c r="B229" s="1" t="s">
        <v>299</v>
      </c>
      <c r="C229" s="2" t="s">
        <v>227</v>
      </c>
      <c r="D229" s="12">
        <v>161000</v>
      </c>
      <c r="E229" s="16">
        <v>136007</v>
      </c>
      <c r="F229" s="21">
        <v>10.26</v>
      </c>
      <c r="G229" s="25">
        <v>512900.5</v>
      </c>
      <c r="H229" s="25">
        <v>177080</v>
      </c>
      <c r="I229" s="25">
        <v>6591.3</v>
      </c>
      <c r="J229" s="6">
        <v>117813</v>
      </c>
      <c r="K229" s="6">
        <v>136699</v>
      </c>
      <c r="L229" s="6">
        <v>1873.1</v>
      </c>
      <c r="M229" s="6">
        <v>87.88</v>
      </c>
      <c r="N229" s="6">
        <v>6.0126815106966003</v>
      </c>
      <c r="O229" s="6">
        <v>42.410358779111604</v>
      </c>
      <c r="P229" s="6">
        <v>583.50801314278999</v>
      </c>
      <c r="Q229" s="6">
        <v>3.1792586287742002</v>
      </c>
      <c r="R229" s="6"/>
      <c r="S229" t="s">
        <v>301</v>
      </c>
      <c r="T229" s="29">
        <v>257.98899999999998</v>
      </c>
      <c r="U229" s="30">
        <f t="shared" si="2"/>
        <v>1.5117235300829757E-2</v>
      </c>
    </row>
    <row r="230" spans="1:21" ht="18.399999999999999" x14ac:dyDescent="0.8">
      <c r="A230" s="1">
        <v>1399</v>
      </c>
      <c r="B230" s="1" t="s">
        <v>288</v>
      </c>
      <c r="C230" s="2" t="s">
        <v>228</v>
      </c>
      <c r="D230" s="11">
        <v>156800</v>
      </c>
      <c r="E230" s="16">
        <v>136773</v>
      </c>
      <c r="F230" s="20">
        <v>14.2</v>
      </c>
      <c r="G230" s="25">
        <v>690037</v>
      </c>
      <c r="H230" s="25">
        <v>238107</v>
      </c>
      <c r="I230" s="25">
        <v>8583.2000000000007</v>
      </c>
      <c r="J230" s="6">
        <v>158319</v>
      </c>
      <c r="K230" s="6">
        <v>183856</v>
      </c>
      <c r="L230" s="6">
        <v>2593.1</v>
      </c>
      <c r="M230" s="6">
        <v>98.37</v>
      </c>
      <c r="N230" s="6">
        <v>2.9268775790981998</v>
      </c>
      <c r="O230" s="6">
        <v>50.684970001485695</v>
      </c>
      <c r="P230" s="6">
        <v>782.92112560969201</v>
      </c>
      <c r="Q230" s="6">
        <v>2.4451574106168001</v>
      </c>
      <c r="R230" s="6"/>
      <c r="S230" t="s">
        <v>301</v>
      </c>
      <c r="T230" s="29">
        <v>256.19200000000001</v>
      </c>
      <c r="U230" s="30">
        <f t="shared" si="2"/>
        <v>3.391742321581015E-3</v>
      </c>
    </row>
    <row r="231" spans="1:21" ht="18.399999999999999" x14ac:dyDescent="0.8">
      <c r="A231" s="1">
        <v>1399</v>
      </c>
      <c r="B231" s="1" t="s">
        <v>289</v>
      </c>
      <c r="C231" s="2" t="s">
        <v>229</v>
      </c>
      <c r="D231" s="11">
        <v>179000</v>
      </c>
      <c r="E231" s="16">
        <v>153801</v>
      </c>
      <c r="F231" s="20">
        <v>19.84</v>
      </c>
      <c r="G231" s="25">
        <v>986759.2</v>
      </c>
      <c r="H231" s="25">
        <v>322025</v>
      </c>
      <c r="I231" s="25">
        <v>11112.9</v>
      </c>
      <c r="J231" s="6">
        <v>213223</v>
      </c>
      <c r="K231" s="6">
        <v>262199</v>
      </c>
      <c r="L231" s="6">
        <v>3701.85</v>
      </c>
      <c r="M231" s="6">
        <v>241.2</v>
      </c>
      <c r="N231" s="6">
        <v>7.3413379161944006</v>
      </c>
      <c r="O231" s="6">
        <v>95.184959742712607</v>
      </c>
      <c r="P231" s="6">
        <v>1044.8432617656199</v>
      </c>
      <c r="Q231" s="6">
        <v>8.1810198923093989</v>
      </c>
      <c r="R231" s="6"/>
      <c r="S231" t="s">
        <v>301</v>
      </c>
      <c r="T231" s="29">
        <v>255.94200000000001</v>
      </c>
      <c r="U231" s="30">
        <f t="shared" si="2"/>
        <v>2.2359625799326377E-3</v>
      </c>
    </row>
    <row r="232" spans="1:21" ht="18.399999999999999" x14ac:dyDescent="0.8">
      <c r="A232" s="1">
        <v>1399</v>
      </c>
      <c r="B232" s="1" t="s">
        <v>290</v>
      </c>
      <c r="C232" s="2" t="s">
        <v>230</v>
      </c>
      <c r="D232" s="11">
        <v>193400</v>
      </c>
      <c r="E232" s="16">
        <v>158215</v>
      </c>
      <c r="F232" s="20">
        <v>24.67</v>
      </c>
      <c r="G232" s="25">
        <v>1270627.1000000001</v>
      </c>
      <c r="H232" s="25">
        <v>409243</v>
      </c>
      <c r="I232" s="25">
        <v>14179.6</v>
      </c>
      <c r="J232" s="6">
        <v>270252</v>
      </c>
      <c r="K232" s="6">
        <v>336880</v>
      </c>
      <c r="L232" s="6">
        <v>4759.7300000000005</v>
      </c>
      <c r="M232" s="6">
        <v>165.35999999999999</v>
      </c>
      <c r="N232" s="6">
        <v>6.0916596447643006</v>
      </c>
      <c r="O232" s="6">
        <v>73.521976994483197</v>
      </c>
      <c r="P232" s="6">
        <v>1325.3907301572099</v>
      </c>
      <c r="Q232" s="6">
        <v>3.9022309839123004</v>
      </c>
      <c r="R232" s="6"/>
      <c r="S232" t="s">
        <v>301</v>
      </c>
      <c r="T232" s="29">
        <v>257.28199999999998</v>
      </c>
      <c r="U232" s="30">
        <f t="shared" si="2"/>
        <v>7.2781229568206207E-3</v>
      </c>
    </row>
    <row r="233" spans="1:21" ht="18.399999999999999" x14ac:dyDescent="0.8">
      <c r="A233" s="1">
        <v>1399</v>
      </c>
      <c r="B233" s="1" t="s">
        <v>291</v>
      </c>
      <c r="C233" s="2" t="s">
        <v>231</v>
      </c>
      <c r="D233" s="11">
        <v>217000</v>
      </c>
      <c r="E233" s="16">
        <v>177037</v>
      </c>
      <c r="F233" s="20">
        <v>42</v>
      </c>
      <c r="G233" s="25">
        <v>1916194.1</v>
      </c>
      <c r="H233" s="25">
        <v>507609</v>
      </c>
      <c r="I233" s="25">
        <v>19543.5</v>
      </c>
      <c r="J233" s="6">
        <v>333401</v>
      </c>
      <c r="K233" s="6">
        <v>504205</v>
      </c>
      <c r="L233" s="6">
        <v>7162.8899999999994</v>
      </c>
      <c r="M233" s="6">
        <v>374.52</v>
      </c>
      <c r="N233" s="6">
        <v>11.403100615507</v>
      </c>
      <c r="O233" s="6">
        <v>136.86134159306371</v>
      </c>
      <c r="P233" s="6">
        <v>1762.5295957982701</v>
      </c>
      <c r="Q233" s="6">
        <v>8.241940846788399</v>
      </c>
      <c r="R233" s="6"/>
      <c r="S233" t="s">
        <v>301</v>
      </c>
      <c r="T233" s="29">
        <v>258.60399999999998</v>
      </c>
      <c r="U233" s="30">
        <f t="shared" si="2"/>
        <v>1.0467910520660206E-2</v>
      </c>
    </row>
    <row r="234" spans="1:21" ht="18.399999999999999" x14ac:dyDescent="0.8">
      <c r="A234" s="1">
        <v>1399</v>
      </c>
      <c r="B234" s="1" t="s">
        <v>292</v>
      </c>
      <c r="C234" s="2" t="s">
        <v>232</v>
      </c>
      <c r="D234" s="11">
        <v>231700</v>
      </c>
      <c r="E234" s="16">
        <v>193734</v>
      </c>
      <c r="F234" s="20">
        <v>37</v>
      </c>
      <c r="G234" s="25">
        <v>1757229.2</v>
      </c>
      <c r="H234" s="25">
        <v>481797</v>
      </c>
      <c r="I234" s="25">
        <v>18777.7</v>
      </c>
      <c r="J234" s="6">
        <v>316106</v>
      </c>
      <c r="K234" s="6">
        <v>461464</v>
      </c>
      <c r="L234" s="6">
        <v>6583.38</v>
      </c>
      <c r="M234" s="6">
        <v>334.26</v>
      </c>
      <c r="N234" s="6">
        <v>10.330489292040101</v>
      </c>
      <c r="O234" s="6">
        <v>110.66453332148687</v>
      </c>
      <c r="P234" s="6">
        <v>1776.9830530528798</v>
      </c>
      <c r="Q234" s="6">
        <v>7.1685839265849989</v>
      </c>
      <c r="R234" s="6"/>
      <c r="S234" t="s">
        <v>301</v>
      </c>
      <c r="T234" s="29">
        <v>259.51100000000002</v>
      </c>
      <c r="U234" s="30">
        <f t="shared" si="2"/>
        <v>1.3247799842260433E-2</v>
      </c>
    </row>
    <row r="235" spans="1:21" ht="18.399999999999999" x14ac:dyDescent="0.8">
      <c r="A235" s="1">
        <v>1399</v>
      </c>
      <c r="B235" s="1" t="s">
        <v>293</v>
      </c>
      <c r="C235" s="2" t="s">
        <v>233</v>
      </c>
      <c r="D235" s="11">
        <v>272500</v>
      </c>
      <c r="E235" s="16">
        <v>217413</v>
      </c>
      <c r="F235" s="20">
        <v>33.75</v>
      </c>
      <c r="G235" s="25">
        <v>1595160.1</v>
      </c>
      <c r="H235" s="25">
        <v>415907</v>
      </c>
      <c r="I235" s="25">
        <v>17599.2</v>
      </c>
      <c r="J235" s="6">
        <v>272587</v>
      </c>
      <c r="K235" s="6">
        <v>418351</v>
      </c>
      <c r="L235" s="6">
        <v>6003.59</v>
      </c>
      <c r="M235" s="6">
        <v>206.88000000000002</v>
      </c>
      <c r="N235" s="6">
        <v>23.069895412407998</v>
      </c>
      <c r="O235" s="6">
        <v>66.708680787794592</v>
      </c>
      <c r="P235" s="6">
        <v>1633.61852026209</v>
      </c>
      <c r="Q235" s="6">
        <v>10.752798727383601</v>
      </c>
      <c r="R235" s="6"/>
      <c r="S235" t="s">
        <v>301</v>
      </c>
      <c r="T235" s="29">
        <v>260.149</v>
      </c>
      <c r="U235" s="30">
        <f t="shared" si="2"/>
        <v>1.4099605507305268E-2</v>
      </c>
    </row>
    <row r="236" spans="1:21" ht="18.399999999999999" x14ac:dyDescent="0.8">
      <c r="A236" s="1">
        <v>1399</v>
      </c>
      <c r="B236" s="1" t="s">
        <v>294</v>
      </c>
      <c r="C236" s="2" t="s">
        <v>234</v>
      </c>
      <c r="D236" s="11">
        <v>295000</v>
      </c>
      <c r="E236" s="16">
        <v>260091</v>
      </c>
      <c r="F236" s="20">
        <v>21.33</v>
      </c>
      <c r="G236" s="25">
        <v>1412354.7</v>
      </c>
      <c r="H236" s="25">
        <v>393880</v>
      </c>
      <c r="I236" s="25">
        <v>16970</v>
      </c>
      <c r="J236" s="6">
        <v>258026</v>
      </c>
      <c r="K236" s="6">
        <v>369380</v>
      </c>
      <c r="L236" s="6">
        <v>5378.9699999999993</v>
      </c>
      <c r="M236" s="6">
        <v>165.35999999999999</v>
      </c>
      <c r="N236" s="6">
        <v>22.907270618655701</v>
      </c>
      <c r="O236" s="6">
        <v>66.425164913113093</v>
      </c>
      <c r="P236" s="6">
        <v>1578.4429104583601</v>
      </c>
      <c r="Q236" s="6">
        <v>8.6872338763321988</v>
      </c>
      <c r="R236" s="6"/>
      <c r="S236" t="s">
        <v>301</v>
      </c>
      <c r="T236" s="29">
        <v>260.46199999999999</v>
      </c>
      <c r="U236" s="30">
        <f t="shared" si="2"/>
        <v>1.1946990329736895E-2</v>
      </c>
    </row>
    <row r="237" spans="1:21" ht="18.399999999999999" x14ac:dyDescent="0.8">
      <c r="A237" s="1">
        <v>1399</v>
      </c>
      <c r="B237" s="1" t="s">
        <v>295</v>
      </c>
      <c r="C237" s="2" t="s">
        <v>235</v>
      </c>
      <c r="D237" s="11">
        <v>260000</v>
      </c>
      <c r="E237" s="16">
        <v>258006</v>
      </c>
      <c r="F237" s="20">
        <v>20.74</v>
      </c>
      <c r="G237" s="25">
        <v>1345301.4</v>
      </c>
      <c r="H237" s="25">
        <v>381274</v>
      </c>
      <c r="I237" s="25">
        <v>16646.900000000001</v>
      </c>
      <c r="J237" s="6">
        <v>249702</v>
      </c>
      <c r="K237" s="6">
        <v>351828</v>
      </c>
      <c r="L237" s="6">
        <v>5194.8599999999997</v>
      </c>
      <c r="M237" s="6">
        <v>99.539999999999992</v>
      </c>
      <c r="N237" s="6">
        <v>18.243749797408302</v>
      </c>
      <c r="O237" s="6">
        <v>36.499294539980902</v>
      </c>
      <c r="P237" s="6">
        <v>1550.5869126903699</v>
      </c>
      <c r="Q237" s="6">
        <v>7.7676397735904006</v>
      </c>
      <c r="R237" s="6"/>
      <c r="S237" t="s">
        <v>301</v>
      </c>
      <c r="T237" s="29">
        <v>260.92700000000002</v>
      </c>
      <c r="U237" s="30">
        <f t="shared" si="2"/>
        <v>1.138808243762357E-2</v>
      </c>
    </row>
    <row r="238" spans="1:21" ht="18.399999999999999" x14ac:dyDescent="0.8">
      <c r="A238" s="1">
        <v>1399</v>
      </c>
      <c r="B238" s="1" t="s">
        <v>296</v>
      </c>
      <c r="C238" s="2" t="s">
        <v>236</v>
      </c>
      <c r="D238" s="11">
        <v>257200</v>
      </c>
      <c r="E238" s="16">
        <v>256251</v>
      </c>
      <c r="F238" s="20">
        <v>22.3</v>
      </c>
      <c r="G238" s="25">
        <v>1439124</v>
      </c>
      <c r="H238" s="25">
        <v>447838</v>
      </c>
      <c r="I238" s="25">
        <v>19688.900000000001</v>
      </c>
      <c r="J238" s="6">
        <v>293145</v>
      </c>
      <c r="K238" s="6">
        <v>376065</v>
      </c>
      <c r="L238" s="6">
        <v>5705.91</v>
      </c>
      <c r="M238" s="6">
        <v>303.03000000000003</v>
      </c>
      <c r="N238" s="6">
        <v>31.115295728279801</v>
      </c>
      <c r="O238" s="6">
        <v>109.55619930289109</v>
      </c>
      <c r="P238" s="6">
        <v>1801.53391471177</v>
      </c>
      <c r="Q238" s="6">
        <v>9.3926208678132994</v>
      </c>
      <c r="R238" s="6"/>
      <c r="S238" t="s">
        <v>301</v>
      </c>
      <c r="T238" s="29">
        <v>261.56</v>
      </c>
      <c r="U238" s="30">
        <f t="shared" si="2"/>
        <v>1.3001398124731445E-2</v>
      </c>
    </row>
    <row r="239" spans="1:21" ht="18.399999999999999" x14ac:dyDescent="0.8">
      <c r="A239" s="1">
        <v>1399</v>
      </c>
      <c r="B239" s="1" t="s">
        <v>297</v>
      </c>
      <c r="C239" s="2" t="s">
        <v>237</v>
      </c>
      <c r="D239" s="11">
        <v>221000</v>
      </c>
      <c r="E239" s="16">
        <v>229234</v>
      </c>
      <c r="F239" s="20">
        <v>13.4</v>
      </c>
      <c r="G239" s="25">
        <v>1150718</v>
      </c>
      <c r="H239" s="25">
        <v>430423</v>
      </c>
      <c r="I239" s="25">
        <v>17530.7</v>
      </c>
      <c r="J239" s="6">
        <v>281508</v>
      </c>
      <c r="K239" s="6">
        <v>300298</v>
      </c>
      <c r="L239" s="6">
        <v>4582.13</v>
      </c>
      <c r="M239" s="6">
        <v>204.6</v>
      </c>
      <c r="N239" s="6">
        <v>18.335582546504298</v>
      </c>
      <c r="O239" s="6">
        <v>99.429420330271299</v>
      </c>
      <c r="P239" s="6">
        <v>1651.8983604350001</v>
      </c>
      <c r="Q239" s="6">
        <v>6.2620057715003004</v>
      </c>
      <c r="R239" s="6"/>
      <c r="S239" t="s">
        <v>301</v>
      </c>
      <c r="T239" s="29">
        <v>262.23099999999999</v>
      </c>
      <c r="U239" s="30">
        <f t="shared" si="2"/>
        <v>1.3699953998461467E-2</v>
      </c>
    </row>
    <row r="240" spans="1:21" ht="18.399999999999999" x14ac:dyDescent="0.8">
      <c r="A240" s="1">
        <v>1399</v>
      </c>
      <c r="B240" s="1" t="s">
        <v>298</v>
      </c>
      <c r="C240" s="2" t="s">
        <v>238</v>
      </c>
      <c r="D240" s="11">
        <v>260000</v>
      </c>
      <c r="E240" s="16">
        <v>235347</v>
      </c>
      <c r="F240" s="20">
        <v>13.9</v>
      </c>
      <c r="G240" s="25">
        <v>1238357.3999999999</v>
      </c>
      <c r="H240" s="25">
        <v>438957</v>
      </c>
      <c r="I240" s="25">
        <v>17589.900000000001</v>
      </c>
      <c r="J240" s="6">
        <v>286931</v>
      </c>
      <c r="K240" s="6">
        <v>323138</v>
      </c>
      <c r="L240" s="6">
        <v>4924.8999999999996</v>
      </c>
      <c r="M240" s="6">
        <v>159.68</v>
      </c>
      <c r="N240" s="6">
        <v>41.7072336853103</v>
      </c>
      <c r="O240" s="6">
        <v>63.8997205611293</v>
      </c>
      <c r="P240" s="6">
        <v>1625.81201720638</v>
      </c>
      <c r="Q240" s="6">
        <v>10.7153865799153</v>
      </c>
      <c r="R240" s="6"/>
      <c r="S240" t="s">
        <v>301</v>
      </c>
      <c r="T240" s="29">
        <v>263.161</v>
      </c>
      <c r="U240" s="30">
        <f t="shared" si="2"/>
        <v>1.6756560442617419E-2</v>
      </c>
    </row>
    <row r="241" spans="1:21" ht="18.399999999999999" x14ac:dyDescent="0.8">
      <c r="A241" s="1">
        <v>1399</v>
      </c>
      <c r="B241" s="1" t="s">
        <v>299</v>
      </c>
      <c r="C241" s="2" t="s">
        <v>239</v>
      </c>
      <c r="D241" s="11">
        <v>252000</v>
      </c>
      <c r="E241" s="16">
        <v>235188</v>
      </c>
      <c r="F241" s="20">
        <v>16.399999999999999</v>
      </c>
      <c r="G241" s="25">
        <v>1307707.1000000001</v>
      </c>
      <c r="H241" s="25">
        <v>439801</v>
      </c>
      <c r="I241" s="25">
        <v>17990.400000000001</v>
      </c>
      <c r="J241" s="6">
        <v>286534</v>
      </c>
      <c r="K241" s="6">
        <v>340492</v>
      </c>
      <c r="L241" s="6">
        <v>5222.95</v>
      </c>
      <c r="M241" s="6">
        <v>96.25</v>
      </c>
      <c r="N241" s="6">
        <v>33.540927141592498</v>
      </c>
      <c r="O241" s="6">
        <v>29.740531756383394</v>
      </c>
      <c r="P241" s="6">
        <v>1644.9303311311201</v>
      </c>
      <c r="Q241" s="6">
        <v>7.3894880525277999</v>
      </c>
      <c r="R241" s="6"/>
      <c r="S241" t="s">
        <v>301</v>
      </c>
      <c r="T241" s="29">
        <v>264.79300000000001</v>
      </c>
      <c r="U241" s="30">
        <f t="shared" si="2"/>
        <v>2.6373217462760223E-2</v>
      </c>
    </row>
    <row r="242" spans="1:21" ht="18.399999999999999" x14ac:dyDescent="0.8">
      <c r="A242" s="1">
        <v>1400</v>
      </c>
      <c r="B242" s="1" t="s">
        <v>288</v>
      </c>
      <c r="C242" s="2" t="s">
        <v>240</v>
      </c>
      <c r="D242" s="11">
        <v>242000</v>
      </c>
      <c r="E242" s="16">
        <v>232288</v>
      </c>
      <c r="F242" s="20">
        <v>13.95</v>
      </c>
      <c r="G242" s="25">
        <v>1219589.8999999999</v>
      </c>
      <c r="H242" s="25">
        <v>431683</v>
      </c>
      <c r="I242" s="25">
        <v>17784.3</v>
      </c>
      <c r="J242" s="6">
        <v>281018</v>
      </c>
      <c r="K242" s="6">
        <v>317307</v>
      </c>
      <c r="L242" s="6">
        <v>4869.4542999999994</v>
      </c>
      <c r="M242" s="6">
        <v>71.819100000000006</v>
      </c>
      <c r="N242" s="6">
        <v>15.9735442692443</v>
      </c>
      <c r="O242" s="6">
        <v>11.497789845503799</v>
      </c>
      <c r="P242" s="6">
        <v>1600.1106218212801</v>
      </c>
      <c r="Q242" s="6">
        <v>6.8023565548139002</v>
      </c>
      <c r="R242" s="6">
        <v>55.042713333000009</v>
      </c>
      <c r="S242" t="s">
        <v>301</v>
      </c>
      <c r="T242" s="29">
        <v>266.83199999999999</v>
      </c>
      <c r="U242" s="30">
        <f t="shared" si="2"/>
        <v>4.1531351486385093E-2</v>
      </c>
    </row>
    <row r="243" spans="1:21" ht="18.399999999999999" x14ac:dyDescent="0.8">
      <c r="A243" s="1">
        <v>1400</v>
      </c>
      <c r="B243" s="1" t="s">
        <v>289</v>
      </c>
      <c r="C243" s="2" t="s">
        <v>241</v>
      </c>
      <c r="D243" s="11">
        <v>230000</v>
      </c>
      <c r="E243" s="16">
        <v>206683</v>
      </c>
      <c r="F243" s="20">
        <v>12.02</v>
      </c>
      <c r="G243" s="25">
        <v>1154844.7</v>
      </c>
      <c r="H243" s="25">
        <v>396983</v>
      </c>
      <c r="I243" s="25">
        <v>17791.400000000001</v>
      </c>
      <c r="J243" s="6">
        <v>256974</v>
      </c>
      <c r="K243" s="6">
        <v>299934</v>
      </c>
      <c r="L243" s="6">
        <v>4621.7813999999998</v>
      </c>
      <c r="M243" s="6">
        <v>43.364899999999999</v>
      </c>
      <c r="N243" s="6">
        <v>24.3338111341847</v>
      </c>
      <c r="O243" s="6">
        <v>9.3554077998770993</v>
      </c>
      <c r="P243" s="6">
        <v>1570.05733524275</v>
      </c>
      <c r="Q243" s="6">
        <v>6.6975736154218</v>
      </c>
      <c r="R243" s="6">
        <v>234.0750425091</v>
      </c>
      <c r="S243" t="s">
        <v>301</v>
      </c>
      <c r="T243" s="29">
        <v>268.55099999999999</v>
      </c>
      <c r="U243" s="30">
        <f t="shared" si="2"/>
        <v>4.9265067866938628E-2</v>
      </c>
    </row>
    <row r="244" spans="1:21" ht="18.399999999999999" x14ac:dyDescent="0.8">
      <c r="A244" s="1">
        <v>1400</v>
      </c>
      <c r="B244" s="1" t="s">
        <v>290</v>
      </c>
      <c r="C244" s="2" t="s">
        <v>242</v>
      </c>
      <c r="D244" s="11">
        <v>241300</v>
      </c>
      <c r="E244" s="16">
        <v>209645</v>
      </c>
      <c r="F244" s="20">
        <v>10.4</v>
      </c>
      <c r="G244" s="25">
        <v>1168664.7</v>
      </c>
      <c r="H244" s="25">
        <v>370028</v>
      </c>
      <c r="I244" s="25">
        <v>17319.2</v>
      </c>
      <c r="J244" s="6">
        <v>237448</v>
      </c>
      <c r="K244" s="6">
        <v>301867</v>
      </c>
      <c r="L244" s="6">
        <v>4665.9652000000006</v>
      </c>
      <c r="M244" s="6">
        <v>71.103099999999998</v>
      </c>
      <c r="N244" s="6">
        <v>28.887723387523103</v>
      </c>
      <c r="O244" s="6">
        <v>20.592942139291701</v>
      </c>
      <c r="P244" s="6">
        <v>1518.7170466346599</v>
      </c>
      <c r="Q244" s="6">
        <v>7.6313128068498006</v>
      </c>
      <c r="R244" s="6">
        <v>162.59062243920002</v>
      </c>
      <c r="S244" t="s">
        <v>301</v>
      </c>
      <c r="T244" s="29">
        <v>270.98099999999999</v>
      </c>
      <c r="U244" s="30">
        <f t="shared" si="2"/>
        <v>5.324507738590345E-2</v>
      </c>
    </row>
    <row r="245" spans="1:21" ht="18.399999999999999" x14ac:dyDescent="0.8">
      <c r="A245" s="1">
        <v>1400</v>
      </c>
      <c r="B245" s="1" t="s">
        <v>291</v>
      </c>
      <c r="C245" s="2" t="s">
        <v>243</v>
      </c>
      <c r="D245" s="11">
        <v>246500</v>
      </c>
      <c r="E245" s="16">
        <v>224022</v>
      </c>
      <c r="F245" s="20">
        <v>10.5</v>
      </c>
      <c r="G245" s="25">
        <v>1311306</v>
      </c>
      <c r="H245" s="25">
        <v>403073</v>
      </c>
      <c r="I245" s="25">
        <v>19049.16</v>
      </c>
      <c r="J245" s="6">
        <v>255640</v>
      </c>
      <c r="K245" s="6">
        <v>332201</v>
      </c>
      <c r="L245" s="6">
        <v>5352.7800000000007</v>
      </c>
      <c r="M245" s="6">
        <v>95.487400000000008</v>
      </c>
      <c r="N245" s="6">
        <v>20.9324842616073</v>
      </c>
      <c r="O245" s="6">
        <v>34.57457321029419</v>
      </c>
      <c r="P245" s="6">
        <v>1429.4521747972601</v>
      </c>
      <c r="Q245" s="6">
        <v>7.6932029721541992</v>
      </c>
      <c r="R245" s="6">
        <v>106.1144332992</v>
      </c>
      <c r="S245" t="s">
        <v>301</v>
      </c>
      <c r="T245" s="29">
        <v>272.26499999999999</v>
      </c>
      <c r="U245" s="30">
        <f t="shared" si="2"/>
        <v>5.2825942367480838E-2</v>
      </c>
    </row>
    <row r="246" spans="1:21" ht="18.399999999999999" x14ac:dyDescent="0.8">
      <c r="A246" s="1">
        <v>1400</v>
      </c>
      <c r="B246" s="1" t="s">
        <v>292</v>
      </c>
      <c r="C246" s="2" t="s">
        <v>244</v>
      </c>
      <c r="D246" s="11">
        <v>275000</v>
      </c>
      <c r="E246" s="16">
        <v>230718</v>
      </c>
      <c r="F246" s="20">
        <v>10</v>
      </c>
      <c r="G246" s="25">
        <v>1515549</v>
      </c>
      <c r="H246" s="25">
        <v>436030</v>
      </c>
      <c r="I246" s="25">
        <v>21876</v>
      </c>
      <c r="J246" s="6">
        <v>275252</v>
      </c>
      <c r="K246" s="6">
        <v>379358</v>
      </c>
      <c r="L246" s="6">
        <v>6099.9529999999995</v>
      </c>
      <c r="M246" s="6">
        <v>86.835900000000009</v>
      </c>
      <c r="N246" s="6">
        <v>19.622132643190501</v>
      </c>
      <c r="O246" s="6">
        <v>32.728950586881794</v>
      </c>
      <c r="P246" s="6">
        <v>1599.9761097090102</v>
      </c>
      <c r="Q246" s="6">
        <v>10.2505422262393</v>
      </c>
      <c r="R246" s="6">
        <v>64.776408069399992</v>
      </c>
      <c r="S246" t="s">
        <v>301</v>
      </c>
      <c r="T246" s="29">
        <v>273.012</v>
      </c>
      <c r="U246" s="30">
        <f t="shared" si="2"/>
        <v>5.2024769662943005E-2</v>
      </c>
    </row>
    <row r="247" spans="1:21" ht="18.399999999999999" x14ac:dyDescent="0.8">
      <c r="A247" s="1">
        <v>1400</v>
      </c>
      <c r="B247" s="1" t="s">
        <v>293</v>
      </c>
      <c r="C247" s="2" t="s">
        <v>245</v>
      </c>
      <c r="D247" s="11">
        <v>275300</v>
      </c>
      <c r="E247" s="16">
        <v>231991</v>
      </c>
      <c r="F247" s="20">
        <v>9.1</v>
      </c>
      <c r="G247" s="25">
        <v>1386451</v>
      </c>
      <c r="H247" s="25">
        <v>415499</v>
      </c>
      <c r="I247" s="25">
        <v>20564.099999999999</v>
      </c>
      <c r="J247" s="6">
        <v>262180</v>
      </c>
      <c r="K247" s="6">
        <v>346146</v>
      </c>
      <c r="L247" s="6">
        <v>5571.5025999999998</v>
      </c>
      <c r="M247" s="6">
        <v>158.9</v>
      </c>
      <c r="N247" s="6">
        <v>40.670778450051699</v>
      </c>
      <c r="O247" s="6">
        <v>68.62936467636419</v>
      </c>
      <c r="P247" s="6">
        <v>1529.3881886607601</v>
      </c>
      <c r="Q247" s="6">
        <v>14.447515832006498</v>
      </c>
      <c r="R247" s="6">
        <v>166.5146636268</v>
      </c>
      <c r="S247" t="s">
        <v>301</v>
      </c>
      <c r="T247" s="29">
        <v>274.13799999999998</v>
      </c>
      <c r="U247" s="30">
        <f t="shared" si="2"/>
        <v>5.3773030071228245E-2</v>
      </c>
    </row>
    <row r="248" spans="1:21" ht="18.399999999999999" x14ac:dyDescent="0.8">
      <c r="A248" s="1">
        <v>1400</v>
      </c>
      <c r="B248" s="1" t="s">
        <v>294</v>
      </c>
      <c r="C248" s="2" t="s">
        <v>246</v>
      </c>
      <c r="D248" s="11">
        <v>274500</v>
      </c>
      <c r="E248" s="16">
        <v>233485</v>
      </c>
      <c r="F248" s="20">
        <v>8.6</v>
      </c>
      <c r="G248" s="25">
        <v>1436387</v>
      </c>
      <c r="H248" s="25">
        <v>397263</v>
      </c>
      <c r="I248" s="25">
        <v>20247.400000000001</v>
      </c>
      <c r="J248" s="6">
        <v>250464</v>
      </c>
      <c r="K248" s="6">
        <v>356284</v>
      </c>
      <c r="L248" s="6">
        <v>5771.8252000000002</v>
      </c>
      <c r="M248" s="6">
        <v>73.5</v>
      </c>
      <c r="N248" s="6">
        <v>24.953901426570003</v>
      </c>
      <c r="O248" s="6">
        <v>31.294091730869901</v>
      </c>
      <c r="P248" s="6">
        <v>1504.1207380170399</v>
      </c>
      <c r="Q248" s="6">
        <v>7.8350690111159</v>
      </c>
      <c r="R248" s="6">
        <v>83.379741115100018</v>
      </c>
      <c r="S248" t="s">
        <v>301</v>
      </c>
      <c r="T248" s="29">
        <v>276.72399999999999</v>
      </c>
      <c r="U248" s="30">
        <f t="shared" si="2"/>
        <v>6.2435211278420555E-2</v>
      </c>
    </row>
    <row r="249" spans="1:21" ht="18.399999999999999" x14ac:dyDescent="0.8">
      <c r="A249" s="1">
        <v>1400</v>
      </c>
      <c r="B249" s="1" t="s">
        <v>295</v>
      </c>
      <c r="C249" s="2" t="s">
        <v>247</v>
      </c>
      <c r="D249" s="11">
        <v>283800</v>
      </c>
      <c r="E249" s="16">
        <v>236041</v>
      </c>
      <c r="F249" s="20">
        <v>8.8000000000000007</v>
      </c>
      <c r="G249" s="25">
        <v>1386935</v>
      </c>
      <c r="H249" s="25">
        <v>383326</v>
      </c>
      <c r="I249" s="25">
        <v>20017.599999999999</v>
      </c>
      <c r="J249" s="6">
        <v>241445</v>
      </c>
      <c r="K249" s="6">
        <v>343951</v>
      </c>
      <c r="L249" s="6">
        <v>5542.4048000000003</v>
      </c>
      <c r="M249" s="6">
        <v>74.47999999999999</v>
      </c>
      <c r="N249" s="6">
        <v>30.781872777435105</v>
      </c>
      <c r="O249" s="6">
        <v>28.738625015185541</v>
      </c>
      <c r="P249" s="6">
        <v>1484.96206415853</v>
      </c>
      <c r="Q249" s="6">
        <v>8.9304407256201994</v>
      </c>
      <c r="R249" s="6">
        <v>102.6289147104</v>
      </c>
      <c r="S249" t="s">
        <v>301</v>
      </c>
      <c r="T249" s="29">
        <v>278.384344</v>
      </c>
      <c r="U249" s="30">
        <f t="shared" si="2"/>
        <v>6.6905088396371326E-2</v>
      </c>
    </row>
    <row r="250" spans="1:21" ht="18.399999999999999" x14ac:dyDescent="0.8">
      <c r="A250" s="1">
        <v>1400</v>
      </c>
      <c r="B250" s="1" t="s">
        <v>296</v>
      </c>
      <c r="C250" s="2" t="s">
        <v>248</v>
      </c>
      <c r="D250" s="11">
        <v>302800</v>
      </c>
      <c r="E250" s="16">
        <v>244820</v>
      </c>
      <c r="F250" s="20">
        <v>8</v>
      </c>
      <c r="G250" s="25">
        <v>1318359.7</v>
      </c>
      <c r="H250" s="25">
        <v>348209</v>
      </c>
      <c r="I250" s="25">
        <v>18523.7</v>
      </c>
      <c r="J250" s="6">
        <v>219026</v>
      </c>
      <c r="K250" s="6">
        <v>326853</v>
      </c>
      <c r="L250" s="6">
        <v>5269.4892999999993</v>
      </c>
      <c r="M250" s="6">
        <v>50.1</v>
      </c>
      <c r="N250" s="6">
        <v>25.304920603510702</v>
      </c>
      <c r="O250" s="6">
        <v>25.302544021541699</v>
      </c>
      <c r="P250" s="6">
        <v>1352.0595256277702</v>
      </c>
      <c r="Q250" s="6">
        <v>10.011590669361</v>
      </c>
      <c r="R250" s="6">
        <v>60.433768024899997</v>
      </c>
      <c r="S250" t="s">
        <v>301</v>
      </c>
      <c r="T250" s="29">
        <v>280.19200000000001</v>
      </c>
      <c r="U250" s="30">
        <f t="shared" si="2"/>
        <v>7.1234133659580978E-2</v>
      </c>
    </row>
    <row r="251" spans="1:21" ht="18.399999999999999" x14ac:dyDescent="0.8">
      <c r="A251" s="1">
        <v>1400</v>
      </c>
      <c r="B251" s="1" t="s">
        <v>297</v>
      </c>
      <c r="C251" s="2" t="s">
        <v>249</v>
      </c>
      <c r="D251" s="11">
        <v>279500</v>
      </c>
      <c r="E251" s="16">
        <v>247737</v>
      </c>
      <c r="F251" s="20">
        <v>7.4</v>
      </c>
      <c r="G251" s="25">
        <v>1279393.8999999999</v>
      </c>
      <c r="H251" s="25">
        <v>335639</v>
      </c>
      <c r="I251" s="25">
        <v>17641.2</v>
      </c>
      <c r="J251" s="6">
        <v>210832</v>
      </c>
      <c r="K251" s="6">
        <v>316652</v>
      </c>
      <c r="L251" s="6">
        <v>5127.57</v>
      </c>
      <c r="M251" s="6">
        <v>47.589999999999996</v>
      </c>
      <c r="N251" s="6">
        <v>23.0064727567406</v>
      </c>
      <c r="O251" s="6">
        <v>19.296943925033499</v>
      </c>
      <c r="P251" s="6">
        <v>1292.1833484850699</v>
      </c>
      <c r="Q251" s="6">
        <v>9.1396915931026008</v>
      </c>
      <c r="R251" s="6">
        <v>167.32898979590001</v>
      </c>
      <c r="S251" t="s">
        <v>301</v>
      </c>
      <c r="T251" s="29">
        <v>281.93299999999999</v>
      </c>
      <c r="U251" s="30">
        <f t="shared" si="2"/>
        <v>7.5132230743123474E-2</v>
      </c>
    </row>
    <row r="252" spans="1:21" ht="18.399999999999999" x14ac:dyDescent="0.8">
      <c r="A252" s="1">
        <v>1400</v>
      </c>
      <c r="B252" s="1" t="s">
        <v>298</v>
      </c>
      <c r="C252" s="2" t="s">
        <v>250</v>
      </c>
      <c r="D252" s="11">
        <v>262000</v>
      </c>
      <c r="E252" s="16">
        <v>243170</v>
      </c>
      <c r="F252" s="20">
        <v>7.3</v>
      </c>
      <c r="G252" s="25">
        <v>1282190.8</v>
      </c>
      <c r="H252" s="25">
        <v>325088</v>
      </c>
      <c r="I252" s="25">
        <v>17512.5</v>
      </c>
      <c r="J252" s="6">
        <v>203856</v>
      </c>
      <c r="K252" s="6">
        <v>316317</v>
      </c>
      <c r="L252" s="6">
        <v>5125.55</v>
      </c>
      <c r="M252" s="6">
        <v>47.28</v>
      </c>
      <c r="N252" s="6">
        <v>27.843155571527397</v>
      </c>
      <c r="O252" s="6">
        <v>22.298104082166297</v>
      </c>
      <c r="P252" s="6">
        <v>1296.20800105936</v>
      </c>
      <c r="Q252" s="6">
        <v>10.691014458585901</v>
      </c>
      <c r="R252" s="6">
        <v>156.70039898050001</v>
      </c>
      <c r="S252" t="s">
        <v>301</v>
      </c>
      <c r="T252" s="29">
        <v>284.18200000000002</v>
      </c>
      <c r="U252" s="30">
        <f t="shared" si="2"/>
        <v>7.9878857429482419E-2</v>
      </c>
    </row>
    <row r="253" spans="1:21" ht="18.399999999999999" x14ac:dyDescent="0.8">
      <c r="A253" s="1">
        <v>1400</v>
      </c>
      <c r="B253" s="1" t="s">
        <v>299</v>
      </c>
      <c r="C253" s="2" t="s">
        <v>251</v>
      </c>
      <c r="D253" s="11">
        <v>263000</v>
      </c>
      <c r="E253" s="16">
        <v>238326</v>
      </c>
      <c r="F253" s="20">
        <v>7.9</v>
      </c>
      <c r="G253" s="25">
        <v>1367250.3</v>
      </c>
      <c r="H253" s="25">
        <v>348268</v>
      </c>
      <c r="I253" s="25">
        <v>18378.5</v>
      </c>
      <c r="J253" s="6">
        <v>217196</v>
      </c>
      <c r="K253" s="6">
        <v>335901</v>
      </c>
      <c r="L253" s="6">
        <v>5360.46</v>
      </c>
      <c r="M253" s="6">
        <v>64.47999999999999</v>
      </c>
      <c r="N253" s="6">
        <v>27.784453266682299</v>
      </c>
      <c r="O253" s="6">
        <v>23.188835175765099</v>
      </c>
      <c r="P253" s="6">
        <v>1355.4449862439301</v>
      </c>
      <c r="Q253" s="6">
        <v>13.344248897714101</v>
      </c>
      <c r="R253" s="6">
        <v>181.59486140250002</v>
      </c>
      <c r="S253" t="s">
        <v>301</v>
      </c>
      <c r="T253" s="29">
        <v>287.70800000000003</v>
      </c>
      <c r="U253" s="30">
        <f t="shared" si="2"/>
        <v>8.6539296733675108E-2</v>
      </c>
    </row>
    <row r="254" spans="1:21" ht="18.399999999999999" x14ac:dyDescent="0.8">
      <c r="A254" s="1">
        <v>1401</v>
      </c>
      <c r="B254" s="1" t="s">
        <v>288</v>
      </c>
      <c r="C254" s="2" t="s">
        <v>252</v>
      </c>
      <c r="D254" s="11">
        <v>277500</v>
      </c>
      <c r="E254" s="16">
        <v>245709</v>
      </c>
      <c r="F254" s="20">
        <v>8.8000000000000007</v>
      </c>
      <c r="G254" s="25">
        <v>1512219.1</v>
      </c>
      <c r="H254" s="25">
        <v>401430</v>
      </c>
      <c r="I254" s="25">
        <v>20763.2</v>
      </c>
      <c r="J254" s="6">
        <v>249934</v>
      </c>
      <c r="K254" s="6">
        <v>371327</v>
      </c>
      <c r="L254" s="6">
        <v>6019.9665999999997</v>
      </c>
      <c r="M254" s="6">
        <v>81.611900000000006</v>
      </c>
      <c r="N254" s="6">
        <v>27.865143045736197</v>
      </c>
      <c r="O254" s="6">
        <v>26.174273311378897</v>
      </c>
      <c r="P254" s="6">
        <v>1524.4243944843199</v>
      </c>
      <c r="Q254" s="6">
        <v>13.215015583254498</v>
      </c>
      <c r="R254" s="6">
        <v>206.95456891430004</v>
      </c>
      <c r="S254" t="s">
        <v>301</v>
      </c>
      <c r="T254" s="29">
        <v>288.66300000000001</v>
      </c>
      <c r="U254" s="30">
        <f t="shared" si="2"/>
        <v>8.1815524374887705E-2</v>
      </c>
    </row>
    <row r="255" spans="1:21" ht="18.399999999999999" x14ac:dyDescent="0.8">
      <c r="A255" s="1">
        <v>1401</v>
      </c>
      <c r="B255" s="1" t="s">
        <v>289</v>
      </c>
      <c r="C255" s="2" t="s">
        <v>253</v>
      </c>
      <c r="D255" s="11">
        <v>304500</v>
      </c>
      <c r="E255" s="16">
        <v>246397</v>
      </c>
      <c r="F255" s="20">
        <v>9.6</v>
      </c>
      <c r="G255" s="25">
        <v>1579686.7</v>
      </c>
      <c r="H255" s="25">
        <v>440177</v>
      </c>
      <c r="I255" s="25">
        <v>21537.9</v>
      </c>
      <c r="J255" s="6">
        <v>271939</v>
      </c>
      <c r="K255" s="6">
        <v>386338</v>
      </c>
      <c r="L255" s="6">
        <v>6284.65</v>
      </c>
      <c r="M255" s="6">
        <v>88.670699999999997</v>
      </c>
      <c r="N255" s="6">
        <v>28.2161136100443</v>
      </c>
      <c r="O255" s="6">
        <v>39.080911287207996</v>
      </c>
      <c r="P255" s="6">
        <v>1574.86848077641</v>
      </c>
      <c r="Q255" s="6">
        <v>13.314993218321101</v>
      </c>
      <c r="R255" s="6">
        <v>181.03322659470001</v>
      </c>
      <c r="S255" t="s">
        <v>301</v>
      </c>
      <c r="T255" s="29">
        <v>291.47399999999999</v>
      </c>
      <c r="U255" s="30">
        <f t="shared" si="2"/>
        <v>8.5358088407788468E-2</v>
      </c>
    </row>
    <row r="256" spans="1:21" ht="18.399999999999999" x14ac:dyDescent="0.8">
      <c r="A256" s="1">
        <v>1401</v>
      </c>
      <c r="B256" s="1" t="s">
        <v>290</v>
      </c>
      <c r="C256" s="2" t="s">
        <v>254</v>
      </c>
      <c r="D256" s="11">
        <v>318500</v>
      </c>
      <c r="E256" s="16">
        <v>255255</v>
      </c>
      <c r="F256" s="20">
        <v>8.8000000000000007</v>
      </c>
      <c r="G256" s="25">
        <v>1547247.2</v>
      </c>
      <c r="H256" s="25">
        <v>423457</v>
      </c>
      <c r="I256" s="25">
        <v>20833.3</v>
      </c>
      <c r="J256" s="6">
        <v>258803</v>
      </c>
      <c r="K256" s="6">
        <v>374898</v>
      </c>
      <c r="L256" s="6">
        <v>6100.6819000000005</v>
      </c>
      <c r="M256" s="6">
        <v>73.446071974014998</v>
      </c>
      <c r="N256" s="6">
        <v>27.995604813176101</v>
      </c>
      <c r="O256" s="6">
        <v>38.168754102508004</v>
      </c>
      <c r="P256" s="6">
        <v>1528.6078826833</v>
      </c>
      <c r="Q256" s="6">
        <v>17.198796592383598</v>
      </c>
      <c r="R256" s="6">
        <v>108.72589924649999</v>
      </c>
      <c r="S256" t="s">
        <v>301</v>
      </c>
      <c r="T256" s="29">
        <v>295.32799999999997</v>
      </c>
      <c r="U256" s="30">
        <f t="shared" si="2"/>
        <v>8.9847627693454557E-2</v>
      </c>
    </row>
    <row r="257" spans="1:21" ht="18.399999999999999" x14ac:dyDescent="0.8">
      <c r="A257" s="1">
        <v>1401</v>
      </c>
      <c r="B257" s="1" t="s">
        <v>291</v>
      </c>
      <c r="C257" s="2" t="s">
        <v>255</v>
      </c>
      <c r="D257" s="11">
        <v>319000</v>
      </c>
      <c r="E257" s="16">
        <v>263724</v>
      </c>
      <c r="F257" s="20">
        <v>7.9</v>
      </c>
      <c r="G257" s="25">
        <v>1471898.2</v>
      </c>
      <c r="H257" s="25">
        <v>403781</v>
      </c>
      <c r="I257" s="25">
        <v>19539.400000000001</v>
      </c>
      <c r="J257" s="6">
        <v>243726</v>
      </c>
      <c r="K257" s="6">
        <v>350958</v>
      </c>
      <c r="L257" s="6">
        <v>5719.8780999999999</v>
      </c>
      <c r="M257" s="6">
        <v>55.921199999999999</v>
      </c>
      <c r="N257" s="6">
        <v>25.375455245910199</v>
      </c>
      <c r="O257" s="6">
        <v>21.360299011997419</v>
      </c>
      <c r="P257" s="6">
        <v>1451.2750982909099</v>
      </c>
      <c r="Q257" s="6">
        <v>18.313383741115199</v>
      </c>
      <c r="R257" s="6">
        <v>145.59579356070003</v>
      </c>
      <c r="S257" t="s">
        <v>301</v>
      </c>
      <c r="T257" s="29">
        <v>295.62</v>
      </c>
      <c r="U257" s="30">
        <f t="shared" si="2"/>
        <v>8.5780397774227302E-2</v>
      </c>
    </row>
    <row r="258" spans="1:21" ht="18.399999999999999" x14ac:dyDescent="0.8">
      <c r="A258" s="1">
        <v>1401</v>
      </c>
      <c r="B258" s="1" t="s">
        <v>292</v>
      </c>
      <c r="C258" s="2" t="s">
        <v>256</v>
      </c>
      <c r="D258" s="11">
        <v>290000</v>
      </c>
      <c r="E258" s="16">
        <v>266029</v>
      </c>
      <c r="F258" s="20">
        <v>7.5</v>
      </c>
      <c r="G258" s="25">
        <v>1424490.9</v>
      </c>
      <c r="H258" s="25">
        <v>397296</v>
      </c>
      <c r="I258" s="25">
        <v>18990.3</v>
      </c>
      <c r="J258" s="6">
        <v>237756</v>
      </c>
      <c r="K258" s="6">
        <v>329336</v>
      </c>
      <c r="L258" s="6">
        <v>5384.0468000000001</v>
      </c>
      <c r="M258" s="6">
        <v>50.508400000000002</v>
      </c>
      <c r="N258" s="6">
        <v>30.723442060570498</v>
      </c>
      <c r="O258" s="6">
        <v>19.635000312686</v>
      </c>
      <c r="P258" s="6">
        <v>1403.9818048908601</v>
      </c>
      <c r="Q258" s="6">
        <v>21.716574871947198</v>
      </c>
      <c r="R258" s="6">
        <v>189.6333062434</v>
      </c>
      <c r="S258" t="s">
        <v>301</v>
      </c>
      <c r="T258" s="29">
        <v>296.76100000000002</v>
      </c>
      <c r="U258" s="30">
        <f t="shared" si="2"/>
        <v>8.6988850306946253E-2</v>
      </c>
    </row>
    <row r="259" spans="1:21" ht="18.399999999999999" x14ac:dyDescent="0.8">
      <c r="A259" s="1">
        <v>1401</v>
      </c>
      <c r="B259" s="1" t="s">
        <v>293</v>
      </c>
      <c r="C259" s="2" t="s">
        <v>257</v>
      </c>
      <c r="D259" s="11">
        <v>317600</v>
      </c>
      <c r="E259" s="16">
        <v>270511</v>
      </c>
      <c r="F259" s="20">
        <v>6.7</v>
      </c>
      <c r="G259" s="25">
        <v>1355240.9</v>
      </c>
      <c r="H259" s="25">
        <v>395678</v>
      </c>
      <c r="I259" s="25">
        <v>18396.599999999999</v>
      </c>
      <c r="J259" s="6">
        <v>236632</v>
      </c>
      <c r="K259" s="6">
        <v>313133</v>
      </c>
      <c r="L259" s="6">
        <v>5106.2260000000006</v>
      </c>
      <c r="M259" s="6">
        <v>45.611499999999999</v>
      </c>
      <c r="N259" s="6">
        <v>33.250153497337394</v>
      </c>
      <c r="O259" s="6">
        <v>25.739470620461997</v>
      </c>
      <c r="P259" s="6">
        <v>1387.2492043306599</v>
      </c>
      <c r="Q259" s="6">
        <v>22.891522822481598</v>
      </c>
      <c r="R259" s="6">
        <v>225.13944872610006</v>
      </c>
      <c r="S259" t="s">
        <v>301</v>
      </c>
      <c r="T259" s="29">
        <v>298.06200000000001</v>
      </c>
      <c r="U259" s="30">
        <f t="shared" si="2"/>
        <v>8.726991515222271E-2</v>
      </c>
    </row>
    <row r="260" spans="1:21" ht="18.399999999999999" x14ac:dyDescent="0.8">
      <c r="A260" s="1">
        <v>1401</v>
      </c>
      <c r="B260" s="1" t="s">
        <v>294</v>
      </c>
      <c r="C260" s="2" t="s">
        <v>258</v>
      </c>
      <c r="D260" s="11">
        <v>328400</v>
      </c>
      <c r="E260" s="16">
        <v>272536</v>
      </c>
      <c r="F260" s="20">
        <v>6.1</v>
      </c>
      <c r="G260" s="25">
        <v>1308960</v>
      </c>
      <c r="H260" s="25">
        <v>378995</v>
      </c>
      <c r="I260" s="25">
        <v>17855</v>
      </c>
      <c r="J260" s="6">
        <v>226283</v>
      </c>
      <c r="K260" s="6">
        <v>299051</v>
      </c>
      <c r="L260" s="6">
        <v>4966.8967981120304</v>
      </c>
      <c r="M260" s="6">
        <v>28.922601928507003</v>
      </c>
      <c r="N260" s="6">
        <v>26.151685370855898</v>
      </c>
      <c r="O260" s="6">
        <v>15.427087307707501</v>
      </c>
      <c r="P260" s="6">
        <v>1331.26150336107</v>
      </c>
      <c r="Q260" s="6">
        <v>19.2521573035519</v>
      </c>
      <c r="R260" s="6">
        <v>408.66619670510005</v>
      </c>
      <c r="S260" t="s">
        <v>301</v>
      </c>
      <c r="T260" s="29">
        <v>297.98700000000002</v>
      </c>
      <c r="U260" s="30">
        <f t="shared" si="2"/>
        <v>7.683829375117468E-2</v>
      </c>
    </row>
    <row r="261" spans="1:21" ht="18.399999999999999" x14ac:dyDescent="0.8">
      <c r="A261" s="1">
        <v>1401</v>
      </c>
      <c r="B261" s="1" t="s">
        <v>295</v>
      </c>
      <c r="C261" s="2" t="s">
        <v>259</v>
      </c>
      <c r="D261" s="11">
        <v>354700</v>
      </c>
      <c r="E261" s="16">
        <v>279346</v>
      </c>
      <c r="F261" s="20">
        <v>6.97</v>
      </c>
      <c r="G261" s="25">
        <v>1408597.9</v>
      </c>
      <c r="H261" s="25">
        <v>404470</v>
      </c>
      <c r="I261" s="25">
        <v>18510</v>
      </c>
      <c r="J261" s="6">
        <v>240919</v>
      </c>
      <c r="K261" s="6">
        <v>321001</v>
      </c>
      <c r="L261" s="6">
        <v>5224.4324545694299</v>
      </c>
      <c r="M261" s="6">
        <v>65.791804029241689</v>
      </c>
      <c r="N261" s="6">
        <v>42.842023474636598</v>
      </c>
      <c r="O261" s="6">
        <v>24.497324676383197</v>
      </c>
      <c r="P261" s="6">
        <v>1371.3559294136501</v>
      </c>
      <c r="Q261" s="6">
        <v>34.155311583028507</v>
      </c>
      <c r="R261" s="6">
        <v>713.54651623070004</v>
      </c>
      <c r="S261" t="s">
        <v>301</v>
      </c>
      <c r="T261" s="29">
        <v>298.59800000000001</v>
      </c>
      <c r="U261" s="30">
        <f t="shared" si="2"/>
        <v>7.2610606291853896E-2</v>
      </c>
    </row>
    <row r="262" spans="1:21" ht="18.399999999999999" x14ac:dyDescent="0.8">
      <c r="A262" s="1">
        <v>1401</v>
      </c>
      <c r="B262" s="1" t="s">
        <v>296</v>
      </c>
      <c r="C262" s="2" t="s">
        <v>260</v>
      </c>
      <c r="D262" s="11">
        <v>396000</v>
      </c>
      <c r="E262" s="16">
        <v>288297</v>
      </c>
      <c r="F262" s="20">
        <v>6.5</v>
      </c>
      <c r="G262" s="25">
        <v>1496200.8</v>
      </c>
      <c r="H262" s="25">
        <v>445721</v>
      </c>
      <c r="I262" s="25">
        <v>19173</v>
      </c>
      <c r="J262" s="6">
        <v>265324</v>
      </c>
      <c r="K262" s="6">
        <v>340915</v>
      </c>
      <c r="L262" s="6">
        <v>5550.5662196808798</v>
      </c>
      <c r="M262" s="6">
        <v>174.59081420984461</v>
      </c>
      <c r="N262" s="6">
        <v>39.702347306051294</v>
      </c>
      <c r="O262" s="6">
        <v>37.483152816923401</v>
      </c>
      <c r="P262" s="6">
        <v>1437.2990020801401</v>
      </c>
      <c r="Q262" s="6">
        <v>38.244336060551404</v>
      </c>
      <c r="R262" s="6">
        <v>1174.1831109451</v>
      </c>
      <c r="S262" t="s">
        <v>301</v>
      </c>
      <c r="T262" s="29">
        <v>298.99</v>
      </c>
      <c r="U262" s="30">
        <f t="shared" si="2"/>
        <v>6.70897099132024E-2</v>
      </c>
    </row>
    <row r="263" spans="1:21" ht="18.399999999999999" x14ac:dyDescent="0.8">
      <c r="A263" s="1">
        <v>1401</v>
      </c>
      <c r="B263" s="1" t="s">
        <v>297</v>
      </c>
      <c r="C263" s="2" t="s">
        <v>261</v>
      </c>
      <c r="D263" s="11">
        <v>430500</v>
      </c>
      <c r="E263" s="16">
        <v>285000</v>
      </c>
      <c r="F263" s="20">
        <v>7.33</v>
      </c>
      <c r="G263" s="25">
        <v>1689144.1</v>
      </c>
      <c r="H263" s="25">
        <v>526187</v>
      </c>
      <c r="I263" s="25">
        <v>21508</v>
      </c>
      <c r="J263" s="6">
        <v>312898</v>
      </c>
      <c r="K263" s="6">
        <v>382626</v>
      </c>
      <c r="L263" s="6">
        <v>6252.32</v>
      </c>
      <c r="M263" s="6">
        <v>119.37</v>
      </c>
      <c r="N263" s="6">
        <v>46.332899474554303</v>
      </c>
      <c r="O263" s="6">
        <v>53.045011295114804</v>
      </c>
      <c r="P263" s="6">
        <v>1619.7708194176898</v>
      </c>
      <c r="Q263" s="6">
        <v>44.6178380248843</v>
      </c>
      <c r="R263" s="6">
        <v>1771.3564360558</v>
      </c>
      <c r="S263" t="s">
        <v>301</v>
      </c>
      <c r="T263" s="29">
        <v>300.536</v>
      </c>
      <c r="U263" s="30">
        <f t="shared" si="2"/>
        <v>6.5983762099505849E-2</v>
      </c>
    </row>
    <row r="264" spans="1:21" ht="18.399999999999999" x14ac:dyDescent="0.8">
      <c r="A264" s="1">
        <v>1401</v>
      </c>
      <c r="B264" s="1" t="s">
        <v>298</v>
      </c>
      <c r="C264" s="2" t="s">
        <v>262</v>
      </c>
      <c r="D264" s="11">
        <v>490000</v>
      </c>
      <c r="E264" s="17">
        <v>285000</v>
      </c>
      <c r="F264" s="20">
        <v>7.99</v>
      </c>
      <c r="G264" s="25">
        <v>1533366.5</v>
      </c>
      <c r="H264" s="25">
        <v>476719</v>
      </c>
      <c r="I264" s="25">
        <v>20043</v>
      </c>
      <c r="J264" s="6">
        <v>282662</v>
      </c>
      <c r="K264" s="6">
        <v>347021</v>
      </c>
      <c r="L264" s="6">
        <v>5650.58</v>
      </c>
      <c r="M264" s="6">
        <v>80.27000000000001</v>
      </c>
      <c r="N264" s="6">
        <v>48.197314031086002</v>
      </c>
      <c r="O264" s="6">
        <v>49.015517198242406</v>
      </c>
      <c r="P264" s="6">
        <v>1535.7855539382899</v>
      </c>
      <c r="Q264" s="6">
        <v>44.2349721927554</v>
      </c>
      <c r="R264" s="6">
        <v>1106.6299261320999</v>
      </c>
      <c r="S264" t="s">
        <v>301</v>
      </c>
      <c r="T264" s="29">
        <v>302.94028800000001</v>
      </c>
      <c r="U264" s="30">
        <f t="shared" si="2"/>
        <v>6.6008008952009645E-2</v>
      </c>
    </row>
    <row r="265" spans="1:21" ht="18.399999999999999" x14ac:dyDescent="0.8">
      <c r="A265" s="1">
        <v>1401</v>
      </c>
      <c r="B265" s="1" t="s">
        <v>299</v>
      </c>
      <c r="C265" s="2" t="s">
        <v>263</v>
      </c>
      <c r="D265" s="11">
        <v>494000</v>
      </c>
      <c r="E265" s="16">
        <v>366000</v>
      </c>
      <c r="F265" s="20">
        <v>9.07</v>
      </c>
      <c r="G265" s="25">
        <v>1960457.4</v>
      </c>
      <c r="H265" s="25">
        <v>585249</v>
      </c>
      <c r="I265" s="25">
        <v>24394</v>
      </c>
      <c r="J265" s="6">
        <v>345763</v>
      </c>
      <c r="K265" s="6">
        <v>443160</v>
      </c>
      <c r="L265" s="6">
        <v>7275.2</v>
      </c>
      <c r="M265" s="6">
        <v>141.56</v>
      </c>
      <c r="N265" s="6">
        <v>77.748510353817807</v>
      </c>
      <c r="O265" s="6">
        <v>50.077006346982998</v>
      </c>
      <c r="P265" s="6">
        <v>1808.10829430529</v>
      </c>
      <c r="Q265" s="6">
        <v>73.39274067711429</v>
      </c>
      <c r="R265" s="6">
        <v>2054.6155500462</v>
      </c>
      <c r="S265" t="s">
        <v>301</v>
      </c>
      <c r="T265" s="29">
        <v>305.36381030400003</v>
      </c>
      <c r="U265" s="30">
        <f t="shared" si="2"/>
        <v>6.1367116326275228E-2</v>
      </c>
    </row>
    <row r="266" spans="1:21" ht="18.399999999999999" x14ac:dyDescent="0.85">
      <c r="A266" s="1">
        <v>1402</v>
      </c>
      <c r="B266" s="1" t="s">
        <v>288</v>
      </c>
      <c r="C266" s="2" t="s">
        <v>264</v>
      </c>
      <c r="D266" s="11">
        <v>514000</v>
      </c>
      <c r="E266" s="16">
        <v>385916</v>
      </c>
      <c r="F266" s="20">
        <v>10.75</v>
      </c>
      <c r="G266" s="25">
        <v>2324132.7000000002</v>
      </c>
      <c r="H266" s="26">
        <v>760754.63300000003</v>
      </c>
      <c r="I266" s="27">
        <v>29208</v>
      </c>
      <c r="J266" s="6">
        <v>449064</v>
      </c>
      <c r="K266" s="6">
        <v>525242</v>
      </c>
      <c r="L266" s="6">
        <v>8605.5272446711606</v>
      </c>
      <c r="M266" s="6">
        <v>182.10262601838051</v>
      </c>
      <c r="N266" s="6">
        <v>63.8652596497109</v>
      </c>
      <c r="O266" s="6">
        <v>70.756223285807579</v>
      </c>
      <c r="P266" s="6">
        <v>2141.1327779590601</v>
      </c>
      <c r="Q266" s="6">
        <v>50.284744141818699</v>
      </c>
      <c r="R266" s="6">
        <v>2183.2048730116717</v>
      </c>
      <c r="S266" t="s">
        <v>301</v>
      </c>
      <c r="T266" s="29">
        <v>302.91800000000001</v>
      </c>
      <c r="U266" s="30">
        <f t="shared" ref="U266:U285" si="3">T266/T254-1</f>
        <v>4.9382844354835864E-2</v>
      </c>
    </row>
    <row r="267" spans="1:21" ht="18.399999999999999" x14ac:dyDescent="0.85">
      <c r="A267" s="1">
        <v>1402</v>
      </c>
      <c r="B267" s="1" t="s">
        <v>289</v>
      </c>
      <c r="C267" s="2" t="s">
        <v>265</v>
      </c>
      <c r="D267" s="11">
        <v>518000</v>
      </c>
      <c r="E267" s="16">
        <v>385025</v>
      </c>
      <c r="F267" s="20">
        <v>11.04</v>
      </c>
      <c r="G267" s="25">
        <v>2153411</v>
      </c>
      <c r="H267" s="26">
        <v>764056.10100000002</v>
      </c>
      <c r="I267" s="27">
        <v>28938</v>
      </c>
      <c r="J267" s="6">
        <v>448120</v>
      </c>
      <c r="K267" s="6">
        <v>517566</v>
      </c>
      <c r="L267" s="6">
        <v>8490.6361703046496</v>
      </c>
      <c r="M267" s="6">
        <v>230.59463230176766</v>
      </c>
      <c r="N267" s="6">
        <v>75.88208092071801</v>
      </c>
      <c r="O267" s="6">
        <v>103.07761541146849</v>
      </c>
      <c r="P267" s="6">
        <v>2154.65956611622</v>
      </c>
      <c r="Q267" s="6">
        <v>68.321628106799508</v>
      </c>
      <c r="R267" s="6">
        <v>3562.0910140573856</v>
      </c>
      <c r="S267" t="s">
        <v>301</v>
      </c>
      <c r="T267" s="29">
        <v>303.29399999999998</v>
      </c>
      <c r="U267" s="30">
        <f t="shared" si="3"/>
        <v>4.0552502109965083E-2</v>
      </c>
    </row>
    <row r="268" spans="1:21" ht="18.399999999999999" x14ac:dyDescent="0.8">
      <c r="A268" s="1">
        <v>1402</v>
      </c>
      <c r="B268" s="1" t="s">
        <v>290</v>
      </c>
      <c r="C268" s="2" t="s">
        <v>266</v>
      </c>
      <c r="D268" s="11">
        <v>487500</v>
      </c>
      <c r="E268" s="16">
        <v>375399</v>
      </c>
      <c r="F268" s="20">
        <v>9.15</v>
      </c>
      <c r="G268" s="25">
        <v>2182027</v>
      </c>
      <c r="H268" s="26">
        <v>746134.63199999998</v>
      </c>
      <c r="I268" s="26">
        <v>27997.448499999999</v>
      </c>
      <c r="J268" s="6">
        <v>433228</v>
      </c>
      <c r="K268" s="6">
        <v>485741</v>
      </c>
      <c r="L268" s="6">
        <v>7988.0223827657192</v>
      </c>
      <c r="M268" s="6">
        <v>139.62400073684799</v>
      </c>
      <c r="N268" s="6">
        <v>60.261823038306105</v>
      </c>
      <c r="O268" s="6">
        <v>70.987934502720407</v>
      </c>
      <c r="P268" s="6">
        <v>2099.3374675486598</v>
      </c>
      <c r="Q268" s="6">
        <v>60.534948782268103</v>
      </c>
      <c r="R268" s="6">
        <v>2456.9429425595026</v>
      </c>
      <c r="S268" t="s">
        <v>301</v>
      </c>
      <c r="T268" s="29">
        <v>303.84100000000001</v>
      </c>
      <c r="U268" s="30">
        <f t="shared" si="3"/>
        <v>2.8825576985588963E-2</v>
      </c>
    </row>
    <row r="269" spans="1:21" ht="18.399999999999999" x14ac:dyDescent="0.8">
      <c r="A269" s="1">
        <v>1402</v>
      </c>
      <c r="B269" s="1" t="s">
        <v>291</v>
      </c>
      <c r="C269" s="2" t="s">
        <v>267</v>
      </c>
      <c r="D269" s="11">
        <v>486500</v>
      </c>
      <c r="E269" s="16">
        <v>375090</v>
      </c>
      <c r="F269" s="20">
        <v>7.71</v>
      </c>
      <c r="G269" s="25">
        <v>1999720</v>
      </c>
      <c r="H269" s="26">
        <v>699939.83400000003</v>
      </c>
      <c r="I269" s="26">
        <v>26350.567500000001</v>
      </c>
      <c r="J269" s="6">
        <v>399928</v>
      </c>
      <c r="K269" s="6">
        <v>428587</v>
      </c>
      <c r="L269" s="6">
        <v>7173.5121416948505</v>
      </c>
      <c r="M269" s="6">
        <v>96.544661839242607</v>
      </c>
      <c r="N269" s="6">
        <v>51.974870395585505</v>
      </c>
      <c r="O269" s="6">
        <v>54.295882078979595</v>
      </c>
      <c r="P269" s="6">
        <v>1991.0168726741299</v>
      </c>
      <c r="Q269" s="6">
        <v>55.578914570265702</v>
      </c>
      <c r="R269" s="6">
        <v>1848.3464928457001</v>
      </c>
      <c r="S269" t="s">
        <v>301</v>
      </c>
      <c r="T269" s="29">
        <v>304.34800000000001</v>
      </c>
      <c r="U269" s="30">
        <f t="shared" si="3"/>
        <v>2.9524389418848607E-2</v>
      </c>
    </row>
    <row r="270" spans="1:21" ht="18.399999999999999" x14ac:dyDescent="0.8">
      <c r="A270" s="1">
        <v>1402</v>
      </c>
      <c r="B270" s="1" t="s">
        <v>292</v>
      </c>
      <c r="C270" s="2" t="s">
        <v>268</v>
      </c>
      <c r="D270" s="11">
        <v>493500</v>
      </c>
      <c r="E270" s="17">
        <v>375090</v>
      </c>
      <c r="F270" s="20">
        <v>7.31</v>
      </c>
      <c r="G270" s="25">
        <v>2037869</v>
      </c>
      <c r="H270" s="26">
        <v>663229.46499999997</v>
      </c>
      <c r="I270" s="26">
        <v>24788.945100000001</v>
      </c>
      <c r="J270" s="6">
        <v>377336</v>
      </c>
      <c r="K270" s="6">
        <v>414284</v>
      </c>
      <c r="L270" s="6">
        <v>6838.0922534539004</v>
      </c>
      <c r="M270" s="6">
        <v>84.894370918651106</v>
      </c>
      <c r="N270" s="6">
        <v>52.1976707606117</v>
      </c>
      <c r="O270" s="6">
        <v>43.140379558301099</v>
      </c>
      <c r="P270" s="6">
        <v>1855.2775482083398</v>
      </c>
      <c r="Q270" s="6">
        <v>57.072801852493697</v>
      </c>
      <c r="R270" s="6">
        <v>2110.0736313017997</v>
      </c>
      <c r="S270" t="s">
        <v>301</v>
      </c>
      <c r="T270" s="29">
        <v>306.26900000000001</v>
      </c>
      <c r="U270" s="30">
        <f t="shared" si="3"/>
        <v>3.2039250440590195E-2</v>
      </c>
    </row>
    <row r="271" spans="1:21" ht="18.399999999999999" x14ac:dyDescent="0.8">
      <c r="A271" s="1">
        <v>1402</v>
      </c>
      <c r="B271" s="1" t="s">
        <v>293</v>
      </c>
      <c r="C271" s="2" t="s">
        <v>269</v>
      </c>
      <c r="D271" s="11">
        <v>494000</v>
      </c>
      <c r="E271" s="17">
        <v>375090</v>
      </c>
      <c r="F271" s="20">
        <v>8.09</v>
      </c>
      <c r="G271" s="25">
        <v>2129609</v>
      </c>
      <c r="H271" s="26">
        <v>721799.55</v>
      </c>
      <c r="I271" s="26">
        <v>26218.3668</v>
      </c>
      <c r="J271" s="6">
        <v>410141</v>
      </c>
      <c r="K271" s="6">
        <v>450833</v>
      </c>
      <c r="L271" s="6">
        <v>7448.5432824498102</v>
      </c>
      <c r="M271" s="6">
        <v>85.688441478724897</v>
      </c>
      <c r="N271" s="6">
        <v>64.126579840603512</v>
      </c>
      <c r="O271" s="6">
        <v>32.935119657630096</v>
      </c>
      <c r="P271" s="6">
        <v>1953.5173382425598</v>
      </c>
      <c r="Q271" s="6">
        <v>57.9408303967449</v>
      </c>
      <c r="R271" s="6">
        <v>2684.6711272171005</v>
      </c>
      <c r="S271" t="s">
        <v>301</v>
      </c>
      <c r="T271" s="29">
        <v>307.48099999999999</v>
      </c>
      <c r="U271" s="30">
        <f t="shared" si="3"/>
        <v>3.1600807885607596E-2</v>
      </c>
    </row>
    <row r="272" spans="1:21" ht="18.399999999999999" x14ac:dyDescent="0.8">
      <c r="A272" s="1">
        <v>1402</v>
      </c>
      <c r="B272" s="1" t="s">
        <v>294</v>
      </c>
      <c r="C272" s="2" t="s">
        <v>270</v>
      </c>
      <c r="D272" s="11">
        <v>509000</v>
      </c>
      <c r="E272" s="16">
        <v>374824</v>
      </c>
      <c r="F272" s="20">
        <v>7.46</v>
      </c>
      <c r="G272" s="25">
        <v>2067164</v>
      </c>
      <c r="H272" s="26">
        <v>690147.83799999999</v>
      </c>
      <c r="I272" s="26">
        <v>25030.795399999999</v>
      </c>
      <c r="J272" s="6">
        <v>391580</v>
      </c>
      <c r="K272" s="6">
        <v>427144</v>
      </c>
      <c r="L272" s="6">
        <v>7122.6170215458897</v>
      </c>
      <c r="M272" s="6">
        <v>66.725933617807101</v>
      </c>
      <c r="N272" s="6">
        <v>52.4972666669413</v>
      </c>
      <c r="O272" s="6">
        <v>32.312685747063696</v>
      </c>
      <c r="P272" s="6">
        <v>1880.7703891362398</v>
      </c>
      <c r="Q272" s="6">
        <v>55.396489362079194</v>
      </c>
      <c r="R272" s="6">
        <v>1925.2129455791996</v>
      </c>
      <c r="S272" t="s">
        <v>301</v>
      </c>
      <c r="T272" s="29">
        <v>307.61900000000003</v>
      </c>
      <c r="U272" s="30">
        <f t="shared" si="3"/>
        <v>3.232355773909612E-2</v>
      </c>
    </row>
    <row r="273" spans="1:21" ht="18.399999999999999" x14ac:dyDescent="0.8">
      <c r="A273" s="1">
        <v>1402</v>
      </c>
      <c r="B273" s="1" t="s">
        <v>295</v>
      </c>
      <c r="C273" s="2" t="s">
        <v>271</v>
      </c>
      <c r="D273" s="11">
        <v>504500</v>
      </c>
      <c r="E273" s="16">
        <v>378891</v>
      </c>
      <c r="F273" s="20">
        <v>6.99</v>
      </c>
      <c r="G273" s="25">
        <v>2052696</v>
      </c>
      <c r="H273" s="26">
        <v>703544.25</v>
      </c>
      <c r="I273" s="26">
        <v>24999.987000000001</v>
      </c>
      <c r="J273" s="6">
        <v>398876</v>
      </c>
      <c r="K273" s="6">
        <v>424560</v>
      </c>
      <c r="L273" s="6">
        <v>7015.2989847019999</v>
      </c>
      <c r="M273" s="6">
        <v>68.887936248575102</v>
      </c>
      <c r="N273" s="6">
        <v>53.567300560481911</v>
      </c>
      <c r="O273" s="6">
        <v>36.156322105987307</v>
      </c>
      <c r="P273" s="6">
        <v>1871.3506586718499</v>
      </c>
      <c r="Q273" s="6">
        <v>56.599201269536607</v>
      </c>
      <c r="R273" s="6">
        <v>2075.2155118533005</v>
      </c>
      <c r="S273" t="s">
        <v>301</v>
      </c>
      <c r="T273" s="29">
        <v>307.91699999999997</v>
      </c>
      <c r="U273" s="30">
        <f t="shared" si="3"/>
        <v>3.1209184254415545E-2</v>
      </c>
    </row>
    <row r="274" spans="1:21" ht="18.399999999999999" x14ac:dyDescent="0.8">
      <c r="A274" s="1">
        <v>1402</v>
      </c>
      <c r="B274" s="1" t="s">
        <v>296</v>
      </c>
      <c r="C274" s="2" t="s">
        <v>272</v>
      </c>
      <c r="D274" s="11">
        <v>501000</v>
      </c>
      <c r="E274" s="16">
        <v>390468</v>
      </c>
      <c r="F274" s="20">
        <v>9.17</v>
      </c>
      <c r="G274" s="25">
        <v>2171023</v>
      </c>
      <c r="H274" s="26">
        <v>761358.22900000005</v>
      </c>
      <c r="I274" s="26">
        <v>26579.764200000001</v>
      </c>
      <c r="J274" s="6">
        <v>430982</v>
      </c>
      <c r="K274" s="6">
        <v>464345</v>
      </c>
      <c r="L274" s="6">
        <v>7715.4679857941901</v>
      </c>
      <c r="M274" s="6">
        <v>103.88323837257749</v>
      </c>
      <c r="N274" s="6">
        <v>67.425921396871402</v>
      </c>
      <c r="O274" s="6">
        <v>43.245952935763995</v>
      </c>
      <c r="P274" s="6">
        <v>1914.5528227232198</v>
      </c>
      <c r="Q274" s="6">
        <v>68.373430654733198</v>
      </c>
      <c r="R274" s="6">
        <v>2768.5792584982</v>
      </c>
      <c r="S274" t="s">
        <v>301</v>
      </c>
      <c r="T274" s="29">
        <v>308.85000000000002</v>
      </c>
      <c r="U274" s="30">
        <f t="shared" si="3"/>
        <v>3.2977691561590694E-2</v>
      </c>
    </row>
    <row r="275" spans="1:21" ht="18.399999999999999" x14ac:dyDescent="0.8">
      <c r="A275" s="1">
        <v>1402</v>
      </c>
      <c r="B275" s="1" t="s">
        <v>297</v>
      </c>
      <c r="C275" s="2" t="s">
        <v>273</v>
      </c>
      <c r="D275" s="11">
        <v>541500</v>
      </c>
      <c r="E275" s="16">
        <v>395237</v>
      </c>
      <c r="F275" s="20">
        <v>7.18</v>
      </c>
      <c r="G275" s="25">
        <v>2176103</v>
      </c>
      <c r="H275" s="26">
        <v>754333.24100000004</v>
      </c>
      <c r="I275" s="26">
        <v>26042.1263</v>
      </c>
      <c r="J275" s="6">
        <v>426341</v>
      </c>
      <c r="K275" s="6">
        <v>452547</v>
      </c>
      <c r="L275" s="6">
        <v>7558.5298553501298</v>
      </c>
      <c r="M275" s="6">
        <v>79.603362365320891</v>
      </c>
      <c r="N275" s="6">
        <v>67.414634756932003</v>
      </c>
      <c r="O275" s="6">
        <v>43.429341212769003</v>
      </c>
      <c r="P275" s="6">
        <v>1886.7829925363201</v>
      </c>
      <c r="Q275" s="6">
        <v>66.763098131557996</v>
      </c>
      <c r="R275" s="6">
        <v>2606.8540598749</v>
      </c>
      <c r="S275" t="s">
        <v>301</v>
      </c>
      <c r="T275" s="29">
        <v>309.78582702481521</v>
      </c>
      <c r="U275" s="30">
        <f t="shared" si="3"/>
        <v>3.077776713876279E-2</v>
      </c>
    </row>
    <row r="276" spans="1:21" ht="18.399999999999999" x14ac:dyDescent="0.8">
      <c r="A276" s="1">
        <v>1402</v>
      </c>
      <c r="B276" s="1" t="s">
        <v>298</v>
      </c>
      <c r="C276" s="2" t="s">
        <v>274</v>
      </c>
      <c r="D276" s="11">
        <v>570500</v>
      </c>
      <c r="E276" s="16">
        <v>397093</v>
      </c>
      <c r="F276" s="20">
        <v>6.98</v>
      </c>
      <c r="G276" s="25">
        <v>2126830</v>
      </c>
      <c r="H276" s="26">
        <v>727278.39599999995</v>
      </c>
      <c r="I276" s="26">
        <v>24836.641599999999</v>
      </c>
      <c r="J276" s="6">
        <v>410112</v>
      </c>
      <c r="K276" s="6">
        <v>432023</v>
      </c>
      <c r="L276" s="6">
        <v>7193.02465680757</v>
      </c>
      <c r="M276" s="6">
        <v>65.909527004864302</v>
      </c>
      <c r="N276" s="6">
        <v>68.010992932707296</v>
      </c>
      <c r="O276" s="6">
        <v>42.744086850023209</v>
      </c>
      <c r="P276" s="6">
        <v>1794.9764812644501</v>
      </c>
      <c r="Q276" s="6">
        <v>69.231247619363089</v>
      </c>
      <c r="R276" s="6">
        <v>1745.6722219670999</v>
      </c>
      <c r="S276" t="s">
        <v>301</v>
      </c>
      <c r="T276" s="29">
        <v>311.05399999999997</v>
      </c>
      <c r="U276" s="30">
        <f t="shared" si="3"/>
        <v>2.6783205540492405E-2</v>
      </c>
    </row>
    <row r="277" spans="1:21" ht="18.399999999999999" x14ac:dyDescent="0.8">
      <c r="A277" s="1">
        <v>1402</v>
      </c>
      <c r="B277" s="1" t="s">
        <v>299</v>
      </c>
      <c r="C277" s="2" t="s">
        <v>275</v>
      </c>
      <c r="D277" s="13">
        <v>609500</v>
      </c>
      <c r="E277" s="16">
        <v>405527</v>
      </c>
      <c r="F277" s="20">
        <v>6.66</v>
      </c>
      <c r="G277" s="25">
        <v>2195092</v>
      </c>
      <c r="H277" s="26">
        <v>742576.00600000005</v>
      </c>
      <c r="I277" s="26">
        <v>25367.2081</v>
      </c>
      <c r="J277" s="6">
        <v>417319</v>
      </c>
      <c r="K277" s="6">
        <v>457456</v>
      </c>
      <c r="L277" s="6">
        <v>7618.8</v>
      </c>
      <c r="M277" s="6">
        <v>133.08088765212818</v>
      </c>
      <c r="N277" s="6">
        <v>80.49674918850279</v>
      </c>
      <c r="O277" s="6">
        <v>37.209113471155199</v>
      </c>
      <c r="P277" s="6">
        <v>1816.2790216989699</v>
      </c>
      <c r="Q277" s="6">
        <v>76.382147729050303</v>
      </c>
      <c r="R277" s="6">
        <v>2911.6704165483002</v>
      </c>
      <c r="S277" t="s">
        <v>301</v>
      </c>
      <c r="T277" s="29">
        <v>312.23</v>
      </c>
      <c r="U277" s="30">
        <f t="shared" si="3"/>
        <v>2.2485276461426285E-2</v>
      </c>
    </row>
    <row r="278" spans="1:21" ht="18.399999999999999" x14ac:dyDescent="0.8">
      <c r="A278" s="1">
        <v>1403</v>
      </c>
      <c r="B278" s="1" t="s">
        <v>288</v>
      </c>
      <c r="C278" s="2" t="s">
        <v>276</v>
      </c>
      <c r="D278" s="10">
        <v>663500</v>
      </c>
      <c r="E278" s="16">
        <v>406482</v>
      </c>
      <c r="F278" s="20">
        <v>6.94</v>
      </c>
      <c r="G278" s="25">
        <v>2208214.73</v>
      </c>
      <c r="H278" s="26">
        <v>723566.30200000003</v>
      </c>
      <c r="I278" s="26">
        <v>24615.447100000001</v>
      </c>
      <c r="J278" s="6">
        <v>405473</v>
      </c>
      <c r="K278" s="6">
        <v>458498</v>
      </c>
      <c r="L278" s="6">
        <v>7636.2</v>
      </c>
      <c r="M278" s="6">
        <v>48.149345187182497</v>
      </c>
      <c r="N278" s="6">
        <v>57.936871323966088</v>
      </c>
      <c r="O278" s="6">
        <v>21.123027281473604</v>
      </c>
      <c r="P278" s="6">
        <v>1752.2806225746199</v>
      </c>
      <c r="Q278" s="6">
        <v>47.173274589152498</v>
      </c>
      <c r="R278" s="6">
        <v>2049.0499715020005</v>
      </c>
      <c r="S278" t="s">
        <v>301</v>
      </c>
      <c r="T278" s="29">
        <v>313.20699999999999</v>
      </c>
      <c r="U278" s="30">
        <f t="shared" si="3"/>
        <v>3.3966287906298076E-2</v>
      </c>
    </row>
    <row r="279" spans="1:21" ht="18.399999999999999" x14ac:dyDescent="0.8">
      <c r="A279" s="1">
        <v>1403</v>
      </c>
      <c r="B279" s="1" t="s">
        <v>289</v>
      </c>
      <c r="C279" s="2" t="s">
        <v>277</v>
      </c>
      <c r="D279" s="10">
        <v>582500</v>
      </c>
      <c r="E279" s="16">
        <v>418404</v>
      </c>
      <c r="F279" s="20">
        <v>7.02</v>
      </c>
      <c r="G279" s="25">
        <v>2112560.33</v>
      </c>
      <c r="H279" s="26">
        <v>694717.147</v>
      </c>
      <c r="I279" s="26">
        <v>23132.347300000001</v>
      </c>
      <c r="J279" s="6">
        <v>386893</v>
      </c>
      <c r="K279" s="6">
        <v>436797</v>
      </c>
      <c r="L279" s="6">
        <v>7289</v>
      </c>
      <c r="M279" s="6">
        <v>57.820651505791204</v>
      </c>
      <c r="N279" s="6">
        <v>74.085713801471712</v>
      </c>
      <c r="O279" s="6">
        <v>29.702405279652499</v>
      </c>
      <c r="P279" s="6">
        <v>1663.9809019142499</v>
      </c>
      <c r="Q279" s="6">
        <v>77.077167969864504</v>
      </c>
      <c r="R279" s="6">
        <v>2815.9774965965998</v>
      </c>
      <c r="S279" t="s">
        <v>301</v>
      </c>
      <c r="T279" s="29">
        <v>313.22500000000002</v>
      </c>
      <c r="U279" s="30">
        <f t="shared" si="3"/>
        <v>3.2743806339723402E-2</v>
      </c>
    </row>
    <row r="280" spans="1:21" ht="18.399999999999999" x14ac:dyDescent="0.8">
      <c r="A280" s="1">
        <v>1403</v>
      </c>
      <c r="B280" s="1" t="s">
        <v>290</v>
      </c>
      <c r="C280" s="2" t="s">
        <v>278</v>
      </c>
      <c r="D280" s="13">
        <v>590000</v>
      </c>
      <c r="E280" s="16">
        <v>428998</v>
      </c>
      <c r="F280" s="20">
        <v>6.01</v>
      </c>
      <c r="G280" s="25">
        <v>2043980</v>
      </c>
      <c r="H280" s="26">
        <v>665732.06900000002</v>
      </c>
      <c r="I280" s="26">
        <v>21880.1777</v>
      </c>
      <c r="J280" s="6">
        <v>365751</v>
      </c>
      <c r="K280" s="6">
        <v>420142</v>
      </c>
      <c r="L280" s="6">
        <v>7008.5</v>
      </c>
      <c r="M280" s="6">
        <v>36.199540538823797</v>
      </c>
      <c r="N280" s="6">
        <v>66.338119038747706</v>
      </c>
      <c r="O280" s="6">
        <v>18.2242878102495</v>
      </c>
      <c r="P280" s="6">
        <v>1541.2941521446901</v>
      </c>
      <c r="Q280" s="6">
        <v>64.422620006278095</v>
      </c>
      <c r="R280" s="6">
        <v>2522.1332649601</v>
      </c>
      <c r="S280" t="s">
        <v>301</v>
      </c>
      <c r="T280" s="29">
        <v>313.04899999999998</v>
      </c>
      <c r="U280" s="30">
        <f t="shared" si="3"/>
        <v>3.0305324166257863E-2</v>
      </c>
    </row>
    <row r="281" spans="1:21" ht="18.399999999999999" x14ac:dyDescent="0.45">
      <c r="A281" s="1">
        <v>1403</v>
      </c>
      <c r="B281" s="1" t="s">
        <v>291</v>
      </c>
      <c r="C281" s="2" t="s">
        <v>279</v>
      </c>
      <c r="D281" s="13">
        <v>579000</v>
      </c>
      <c r="E281" s="16">
        <v>438010</v>
      </c>
      <c r="F281" s="22">
        <v>6.58</v>
      </c>
      <c r="G281" s="25">
        <v>2172192</v>
      </c>
      <c r="H281" s="25">
        <v>693986</v>
      </c>
      <c r="I281" s="25">
        <v>22294</v>
      </c>
      <c r="J281" s="6">
        <v>373587</v>
      </c>
      <c r="K281" s="6">
        <v>431735</v>
      </c>
      <c r="L281" s="6">
        <v>7208.6</v>
      </c>
      <c r="M281" s="6">
        <v>47.596671457046</v>
      </c>
      <c r="N281" s="6">
        <v>72.969979315737703</v>
      </c>
      <c r="O281" s="6">
        <v>19.9360232142085</v>
      </c>
      <c r="P281" s="6">
        <v>1544.78835996266</v>
      </c>
      <c r="Q281" s="6">
        <v>76.32365049653319</v>
      </c>
      <c r="R281" s="6">
        <v>3239.6019432672001</v>
      </c>
      <c r="S281" t="s">
        <v>301</v>
      </c>
      <c r="T281" s="29">
        <v>313.53399999999999</v>
      </c>
      <c r="U281" s="30">
        <f t="shared" si="3"/>
        <v>3.0182554181397592E-2</v>
      </c>
    </row>
    <row r="282" spans="1:21" ht="18.399999999999999" x14ac:dyDescent="0.8">
      <c r="A282" s="1">
        <v>1403</v>
      </c>
      <c r="B282" s="1" t="s">
        <v>292</v>
      </c>
      <c r="C282" s="2" t="s">
        <v>280</v>
      </c>
      <c r="D282" s="13">
        <v>589000</v>
      </c>
      <c r="E282" s="16">
        <v>452149</v>
      </c>
      <c r="F282" s="20">
        <v>5.8</v>
      </c>
      <c r="G282" s="26">
        <v>2037208.89</v>
      </c>
      <c r="H282" s="26">
        <v>639030.28899999999</v>
      </c>
      <c r="I282" s="26">
        <v>20797.703799999999</v>
      </c>
      <c r="J282" s="6">
        <v>341976</v>
      </c>
      <c r="K282" s="6">
        <v>398478</v>
      </c>
      <c r="L282" s="6">
        <v>6656.1</v>
      </c>
      <c r="M282" s="6">
        <v>43.524368349635296</v>
      </c>
      <c r="N282" s="6">
        <v>80.262531787289007</v>
      </c>
      <c r="O282" s="6">
        <v>16.062794251092605</v>
      </c>
      <c r="P282" s="6">
        <v>1460.6749410964699</v>
      </c>
      <c r="Q282" s="6">
        <v>87.155325277196695</v>
      </c>
      <c r="R282" s="6">
        <v>1907.8380882017002</v>
      </c>
      <c r="S282" t="s">
        <v>301</v>
      </c>
      <c r="T282" s="29">
        <v>314.12099999999998</v>
      </c>
      <c r="U282" s="30">
        <f t="shared" si="3"/>
        <v>2.5637593096264899E-2</v>
      </c>
    </row>
    <row r="283" spans="1:21" ht="18.399999999999999" x14ac:dyDescent="0.8">
      <c r="A283" s="1">
        <v>1403</v>
      </c>
      <c r="B283" s="1" t="s">
        <v>293</v>
      </c>
      <c r="C283" s="2" t="s">
        <v>281</v>
      </c>
      <c r="D283" s="13">
        <v>593000</v>
      </c>
      <c r="E283" s="16">
        <v>461528</v>
      </c>
      <c r="F283" s="20">
        <v>6.02</v>
      </c>
      <c r="G283" s="26">
        <v>2097004.54</v>
      </c>
      <c r="H283" s="26">
        <v>687605.28599999996</v>
      </c>
      <c r="I283" s="26">
        <v>21847.6931</v>
      </c>
      <c r="J283" s="6">
        <v>367312</v>
      </c>
      <c r="K283" s="6">
        <v>408174</v>
      </c>
      <c r="L283" s="6">
        <v>6820</v>
      </c>
      <c r="M283" s="6">
        <v>41.218610334741498</v>
      </c>
      <c r="N283" s="6">
        <v>77.920318382361501</v>
      </c>
      <c r="O283" s="6">
        <v>17.201968654630601</v>
      </c>
      <c r="P283" s="6">
        <v>1524.6003401477701</v>
      </c>
      <c r="Q283" s="6">
        <v>84.922803563727001</v>
      </c>
      <c r="R283" s="6">
        <v>2074.9006946270006</v>
      </c>
      <c r="S283" t="s">
        <v>301</v>
      </c>
      <c r="T283" s="29">
        <v>314.68599999999998</v>
      </c>
      <c r="U283" s="30">
        <f t="shared" si="3"/>
        <v>2.3432342160979003E-2</v>
      </c>
    </row>
    <row r="284" spans="1:21" ht="18.399999999999999" x14ac:dyDescent="0.8">
      <c r="A284" s="1">
        <v>1403</v>
      </c>
      <c r="B284" s="1" t="s">
        <v>294</v>
      </c>
      <c r="C284" s="2" t="s">
        <v>282</v>
      </c>
      <c r="D284" s="13">
        <v>650500</v>
      </c>
      <c r="E284" s="16">
        <v>486897</v>
      </c>
      <c r="F284" s="23">
        <v>5.6653705666835608</v>
      </c>
      <c r="G284" s="26">
        <v>2007268.77</v>
      </c>
      <c r="H284" s="26">
        <v>665897.58900000004</v>
      </c>
      <c r="I284" s="26">
        <v>21199.338800000001</v>
      </c>
      <c r="J284" s="6">
        <v>354764</v>
      </c>
      <c r="K284" s="6">
        <v>387264</v>
      </c>
      <c r="L284" s="6">
        <f>(64698559.4812784/1000)/10</f>
        <v>6469.8559481278398</v>
      </c>
      <c r="M284" s="6">
        <v>45.356103940152693</v>
      </c>
      <c r="N284" s="6">
        <v>105.19524681057798</v>
      </c>
      <c r="O284" s="6">
        <v>19.920232611065501</v>
      </c>
      <c r="P284" s="6">
        <v>1490.7021841486001</v>
      </c>
      <c r="Q284" s="6">
        <v>103.616272748654</v>
      </c>
      <c r="R284" s="6">
        <v>2426.6040602400003</v>
      </c>
      <c r="S284" t="s">
        <v>301</v>
      </c>
      <c r="T284" s="29">
        <v>315.45400000000001</v>
      </c>
      <c r="U284" s="30">
        <f t="shared" si="3"/>
        <v>2.5469818184182369E-2</v>
      </c>
    </row>
    <row r="285" spans="1:21" ht="18.399999999999999" x14ac:dyDescent="0.8">
      <c r="A285" s="1">
        <v>1403</v>
      </c>
      <c r="B285" s="1" t="s">
        <v>295</v>
      </c>
      <c r="C285" s="2" t="s">
        <v>283</v>
      </c>
      <c r="D285" s="13">
        <v>691500</v>
      </c>
      <c r="E285" s="18">
        <v>510259</v>
      </c>
      <c r="F285" s="23">
        <v>6.2937583399781785</v>
      </c>
      <c r="G285" s="26">
        <v>2257613.7799999998</v>
      </c>
      <c r="H285" s="26">
        <v>719826.54700000002</v>
      </c>
      <c r="I285" s="26">
        <v>22316.1266</v>
      </c>
      <c r="J285" s="6">
        <v>382912</v>
      </c>
      <c r="K285" s="6">
        <v>432655</v>
      </c>
      <c r="L285" s="6">
        <f>(72284522.5294775/1000)/10</f>
        <v>7228.4522529477499</v>
      </c>
      <c r="M285" s="6">
        <v>66.918326233894589</v>
      </c>
      <c r="N285" s="6">
        <v>121.55374592095799</v>
      </c>
      <c r="O285" s="6">
        <v>31.416867808376093</v>
      </c>
      <c r="P285" s="6">
        <v>1550.69442078513</v>
      </c>
      <c r="Q285" s="6">
        <v>115.618436488363</v>
      </c>
      <c r="R285" s="6">
        <v>4921.3177625570006</v>
      </c>
      <c r="S285" t="s">
        <v>301</v>
      </c>
      <c r="T285" s="29">
        <v>316.44099999999997</v>
      </c>
      <c r="U285" s="30">
        <f t="shared" si="3"/>
        <v>2.7682784646511971E-2</v>
      </c>
    </row>
    <row r="286" spans="1:21" ht="18.399999999999999" x14ac:dyDescent="0.8">
      <c r="A286" s="1">
        <v>1403</v>
      </c>
      <c r="B286" s="1" t="s">
        <v>296</v>
      </c>
      <c r="C286" s="2" t="s">
        <v>284</v>
      </c>
      <c r="D286" s="13">
        <v>770000</v>
      </c>
      <c r="E286" s="18">
        <v>627321</v>
      </c>
      <c r="F286" s="23">
        <v>7.0923847713853059</v>
      </c>
      <c r="G286" s="26">
        <v>2680489.35</v>
      </c>
      <c r="H286" s="26">
        <v>827270.58299999998</v>
      </c>
      <c r="I286" s="26">
        <v>25663.9388</v>
      </c>
      <c r="J286" s="6">
        <v>439166</v>
      </c>
      <c r="K286" s="6">
        <v>512035</v>
      </c>
      <c r="L286" s="6">
        <f>(85572571.8247558/1000)/10</f>
        <v>8557.2571824755796</v>
      </c>
      <c r="M286" s="6">
        <v>149.65393927919402</v>
      </c>
      <c r="N286" s="6">
        <v>162.91983157063399</v>
      </c>
      <c r="O286" s="6">
        <v>49.192879078617601</v>
      </c>
      <c r="P286" s="6">
        <v>1768.3744054344597</v>
      </c>
      <c r="Q286" s="6">
        <v>138.04138919657299</v>
      </c>
      <c r="R286" s="6">
        <v>10589.635679184299</v>
      </c>
      <c r="S286" t="s">
        <v>301</v>
      </c>
      <c r="T286" s="29">
        <v>317.685</v>
      </c>
      <c r="U286" s="30">
        <f>T286/T274-1</f>
        <v>2.8606119475473424E-2</v>
      </c>
    </row>
    <row r="287" spans="1:21" ht="18.399999999999999" x14ac:dyDescent="0.8">
      <c r="A287" s="1">
        <v>1403</v>
      </c>
      <c r="B287" s="1" t="s">
        <v>300</v>
      </c>
      <c r="C287" s="2" t="s">
        <v>285</v>
      </c>
      <c r="D287" s="13">
        <v>810500</v>
      </c>
      <c r="E287" s="18">
        <v>665436</v>
      </c>
      <c r="F287" s="23">
        <v>6.8482974602359707</v>
      </c>
      <c r="G287" s="26">
        <v>2800954.32</v>
      </c>
      <c r="H287" s="26">
        <v>887440.723</v>
      </c>
      <c r="I287" s="26">
        <v>26698.4594</v>
      </c>
      <c r="J287" s="6">
        <v>469950</v>
      </c>
      <c r="K287" s="6">
        <v>532861</v>
      </c>
      <c r="L287" s="6">
        <f>(89361944.9614003/1000)/10</f>
        <v>8936.1944961400295</v>
      </c>
      <c r="M287" s="6">
        <v>169.10229052652403</v>
      </c>
      <c r="N287" s="6">
        <v>191.06755484044399</v>
      </c>
      <c r="O287" s="6">
        <v>66.160672125960801</v>
      </c>
      <c r="P287" s="6">
        <v>1914.18868973689</v>
      </c>
      <c r="Q287" s="6">
        <v>165.26900251931198</v>
      </c>
      <c r="R287" s="6">
        <v>9795.9677830702021</v>
      </c>
      <c r="S287" t="s">
        <v>301</v>
      </c>
      <c r="T287" s="29">
        <v>319.08</v>
      </c>
      <c r="U287" s="30">
        <f t="shared" ref="U287:U295" si="4">T287/T275-1</f>
        <v>3.0001930896729645E-2</v>
      </c>
    </row>
    <row r="288" spans="1:21" ht="18.399999999999999" x14ac:dyDescent="0.8">
      <c r="A288" s="1">
        <v>1403</v>
      </c>
      <c r="B288" s="1" t="s">
        <v>298</v>
      </c>
      <c r="C288" s="2" t="s">
        <v>286</v>
      </c>
      <c r="D288" s="13">
        <v>919950</v>
      </c>
      <c r="E288" s="18">
        <v>675382</v>
      </c>
      <c r="F288" s="23">
        <v>6.5565303880689276</v>
      </c>
      <c r="G288" s="26">
        <v>2719338.74</v>
      </c>
      <c r="H288" s="26">
        <v>859923.3</v>
      </c>
      <c r="I288" s="26">
        <v>26045.688999999998</v>
      </c>
      <c r="J288" s="6">
        <v>439937</v>
      </c>
      <c r="K288" s="6">
        <v>519468</v>
      </c>
      <c r="L288" s="6">
        <f>89418481/10000</f>
        <v>8941.8480999999992</v>
      </c>
      <c r="M288" s="6">
        <f>1039.97835887554/10</f>
        <v>103.99783588755399</v>
      </c>
      <c r="N288" s="6">
        <v>162.78284145107301</v>
      </c>
      <c r="O288" s="6">
        <f>389.884878533506/10</f>
        <v>38.988487853350605</v>
      </c>
      <c r="P288" s="6">
        <v>1872.8847471028</v>
      </c>
      <c r="Q288" s="6">
        <v>139.447592785149</v>
      </c>
      <c r="R288" s="6">
        <v>6093.6503772876003</v>
      </c>
      <c r="S288" t="s">
        <v>301</v>
      </c>
      <c r="T288" s="29">
        <v>319.77</v>
      </c>
      <c r="U288" s="30">
        <f t="shared" si="4"/>
        <v>2.8020858114668146E-2</v>
      </c>
    </row>
    <row r="289" spans="1:21" ht="18.399999999999999" x14ac:dyDescent="0.8">
      <c r="A289" s="1">
        <v>1403</v>
      </c>
      <c r="B289" s="1" t="s">
        <v>299</v>
      </c>
      <c r="C289" s="2" t="s">
        <v>287</v>
      </c>
      <c r="D289" s="13">
        <v>977800</v>
      </c>
      <c r="E289" s="18">
        <v>687390</v>
      </c>
      <c r="F289" s="23">
        <v>6.46</v>
      </c>
      <c r="G289" s="26">
        <v>2710088.09</v>
      </c>
      <c r="H289" s="26">
        <v>841462</v>
      </c>
      <c r="I289" s="26">
        <v>24314.869299999998</v>
      </c>
      <c r="J289" s="6">
        <v>438377</v>
      </c>
      <c r="K289" s="6">
        <v>520160</v>
      </c>
      <c r="L289" s="6">
        <v>8726.5095000000001</v>
      </c>
      <c r="M289" s="6">
        <f>1934.27622960477/10</f>
        <v>193.42762296047698</v>
      </c>
      <c r="N289" s="6">
        <v>202.74746964616901</v>
      </c>
      <c r="O289" s="6">
        <f>484.97159105527/10</f>
        <v>48.497159105526997</v>
      </c>
      <c r="P289" s="6">
        <v>1760.3918048078299</v>
      </c>
      <c r="Q289" s="6">
        <v>177.99634124972999</v>
      </c>
      <c r="R289" s="6">
        <v>8448.9604912647992</v>
      </c>
      <c r="S289" t="s">
        <v>301</v>
      </c>
      <c r="T289" s="29">
        <v>319.61</v>
      </c>
      <c r="U289" s="30">
        <f t="shared" si="4"/>
        <v>2.3636421868494351E-2</v>
      </c>
    </row>
    <row r="290" spans="1:21" ht="18.399999999999999" x14ac:dyDescent="0.8">
      <c r="A290" s="1">
        <v>1404</v>
      </c>
      <c r="B290" s="1" t="s">
        <v>288</v>
      </c>
      <c r="C290" s="2" t="str">
        <f>B290&amp;" "&amp;A290</f>
        <v>فروردین 1404</v>
      </c>
      <c r="D290" s="13">
        <v>827900</v>
      </c>
      <c r="E290" s="18">
        <v>693312</v>
      </c>
      <c r="F290" s="23">
        <v>7.43</v>
      </c>
      <c r="G290" s="26">
        <v>3077923.9</v>
      </c>
      <c r="H290" s="26">
        <v>878660.22499999998</v>
      </c>
      <c r="I290" s="26">
        <v>26021.537199999999</v>
      </c>
      <c r="J290" s="6">
        <v>460526</v>
      </c>
      <c r="K290" s="6">
        <v>581981</v>
      </c>
      <c r="L290" s="6">
        <f>98112.4866221336/10</f>
        <v>9811.2486622133601</v>
      </c>
      <c r="M290" s="6">
        <f>816.126137426963/10</f>
        <v>81.612613742696311</v>
      </c>
      <c r="N290" s="6">
        <v>159.48667990803398</v>
      </c>
      <c r="O290" s="6">
        <f>259.946473130179/10</f>
        <v>25.9946473130179</v>
      </c>
      <c r="P290" s="6">
        <v>1857.6327588649299</v>
      </c>
      <c r="Q290" s="6">
        <v>121.651403697004</v>
      </c>
      <c r="R290" s="6">
        <v>8128.983240900302</v>
      </c>
      <c r="S290" t="s">
        <v>301</v>
      </c>
      <c r="T290" s="29">
        <v>320.32</v>
      </c>
      <c r="U290" s="30">
        <f t="shared" si="4"/>
        <v>2.2710220397373027E-2</v>
      </c>
    </row>
    <row r="291" spans="1:21" ht="18.399999999999999" x14ac:dyDescent="0.8">
      <c r="A291" s="1">
        <v>1404</v>
      </c>
      <c r="B291" s="1" t="s">
        <v>289</v>
      </c>
      <c r="C291" s="2" t="str">
        <f t="shared" ref="C291:C304" si="5">B291&amp;" "&amp;A291</f>
        <v>اردیبهشت 1404</v>
      </c>
      <c r="D291" s="13">
        <v>838000</v>
      </c>
      <c r="E291" s="18">
        <v>694361</v>
      </c>
      <c r="F291" s="23">
        <v>7.383564925806823</v>
      </c>
      <c r="G291" s="26">
        <v>3108119</v>
      </c>
      <c r="H291" s="26">
        <v>954869</v>
      </c>
      <c r="I291" s="26">
        <v>27621.721399999999</v>
      </c>
      <c r="J291" s="6">
        <v>497697</v>
      </c>
      <c r="K291" s="6">
        <v>585187</v>
      </c>
      <c r="L291" s="6">
        <f>98707405.2886172/10000</f>
        <v>9870.7405288617192</v>
      </c>
      <c r="M291" s="6">
        <f>2262786.68626589/10000</f>
        <v>226.278668626589</v>
      </c>
      <c r="N291" s="6">
        <f>2676752.86368608/10000</f>
        <v>267.675286368608</v>
      </c>
      <c r="O291" s="6">
        <f>605600.961620051/10000</f>
        <v>60.560096162005095</v>
      </c>
      <c r="P291" s="6">
        <v>1991.1589807625498</v>
      </c>
      <c r="Q291" s="6">
        <f>2220988.00388973/10000</f>
        <v>222.09880038897302</v>
      </c>
      <c r="R291" s="6">
        <v>15532.181466352802</v>
      </c>
      <c r="S291" t="s">
        <v>301</v>
      </c>
      <c r="T291" s="29">
        <v>320.58</v>
      </c>
      <c r="U291" s="30">
        <f t="shared" si="4"/>
        <v>2.348152286694849E-2</v>
      </c>
    </row>
    <row r="292" spans="1:21" ht="18.399999999999999" x14ac:dyDescent="0.8">
      <c r="A292" s="1">
        <v>1404</v>
      </c>
      <c r="B292" s="1" t="s">
        <v>290</v>
      </c>
      <c r="C292" s="2" t="str">
        <f t="shared" si="5"/>
        <v>خرداد 1404</v>
      </c>
      <c r="D292" s="13">
        <v>835350</v>
      </c>
      <c r="E292" s="18">
        <v>693824</v>
      </c>
      <c r="F292" s="23">
        <v>7.0932152959000732</v>
      </c>
      <c r="G292" s="26">
        <v>2984606</v>
      </c>
      <c r="H292" s="26">
        <v>923686</v>
      </c>
      <c r="I292" s="26">
        <v>27205.6561</v>
      </c>
      <c r="J292" s="6">
        <v>477808</v>
      </c>
      <c r="K292" s="6">
        <v>560361</v>
      </c>
      <c r="L292" s="6">
        <f>94465432.1232367/10000</f>
        <v>9446.5432123236696</v>
      </c>
      <c r="M292" s="6">
        <f>725373.738955081/10000</f>
        <v>72.537373895508097</v>
      </c>
      <c r="N292" s="6">
        <f>1469430.66777494/10000</f>
        <v>146.94306677749398</v>
      </c>
      <c r="O292" s="6">
        <f>334575.644945933/10000</f>
        <v>33.457564494593299</v>
      </c>
      <c r="P292" s="6">
        <f>19525798.2652126/10000</f>
        <v>1952.57982652126</v>
      </c>
      <c r="Q292" s="6">
        <f>1295275.37112732/10000</f>
        <v>129.52753711273201</v>
      </c>
      <c r="R292" s="6">
        <f>50859.032441983/10</f>
        <v>5085.9032441982999</v>
      </c>
      <c r="S292" t="s">
        <v>301</v>
      </c>
      <c r="T292" s="29">
        <v>321.5</v>
      </c>
      <c r="U292" s="30">
        <f t="shared" si="4"/>
        <v>2.6995773824545211E-2</v>
      </c>
    </row>
    <row r="293" spans="1:21" ht="18.399999999999999" x14ac:dyDescent="0.8">
      <c r="A293" s="1">
        <v>1404</v>
      </c>
      <c r="B293" s="1" t="s">
        <v>291</v>
      </c>
      <c r="C293" s="2" t="str">
        <f t="shared" si="5"/>
        <v>تیر 1404</v>
      </c>
      <c r="D293" s="13">
        <v>881100</v>
      </c>
      <c r="E293" s="18">
        <v>696623</v>
      </c>
      <c r="F293" s="23">
        <v>6.1175887736478245</v>
      </c>
      <c r="G293" s="26">
        <v>2843905</v>
      </c>
      <c r="H293" s="26">
        <v>852758</v>
      </c>
      <c r="I293" s="26">
        <v>25373</v>
      </c>
      <c r="J293" s="6">
        <v>433678</v>
      </c>
      <c r="K293" s="6">
        <v>524627</v>
      </c>
      <c r="L293" s="6">
        <f>88497117.1407704/10000</f>
        <v>8849.7117140770406</v>
      </c>
      <c r="M293" s="6">
        <f>1208687.79672284/10000</f>
        <v>120.86877967228401</v>
      </c>
      <c r="N293" s="6">
        <f>1652530.66003009/10000</f>
        <v>165.253066003009</v>
      </c>
      <c r="O293" s="6">
        <f>224252.856534835/10000</f>
        <v>22.425285653483503</v>
      </c>
      <c r="P293" s="6">
        <f>18159301.2817371/10000</f>
        <v>1815.93012817371</v>
      </c>
      <c r="Q293" s="6">
        <f>1490626.72327054/10000</f>
        <v>149.062672327054</v>
      </c>
      <c r="R293" s="6">
        <f>49833.256253556/10</f>
        <v>4983.3256253556001</v>
      </c>
      <c r="S293" t="s">
        <v>301</v>
      </c>
      <c r="T293" s="29">
        <v>322.13200000000001</v>
      </c>
      <c r="U293" s="30">
        <f t="shared" si="4"/>
        <v>2.742286323014409E-2</v>
      </c>
    </row>
    <row r="294" spans="1:21" ht="18.399999999999999" x14ac:dyDescent="0.8">
      <c r="A294" s="1">
        <v>1404</v>
      </c>
      <c r="B294" s="1" t="s">
        <v>292</v>
      </c>
      <c r="C294" s="2" t="str">
        <f t="shared" si="5"/>
        <v>مرداد 1404</v>
      </c>
      <c r="D294" s="13">
        <v>950600</v>
      </c>
      <c r="E294" s="18">
        <v>698196</v>
      </c>
      <c r="F294" s="23">
        <v>4.79925738010785</v>
      </c>
      <c r="G294" s="26">
        <v>2475220</v>
      </c>
      <c r="H294" s="26">
        <v>768001</v>
      </c>
      <c r="I294" s="26">
        <v>23260</v>
      </c>
      <c r="J294" s="6">
        <v>386101</v>
      </c>
      <c r="K294" s="6">
        <v>444406</v>
      </c>
      <c r="L294" s="6">
        <f>74897653.5848748/10000</f>
        <v>7489.7653584874797</v>
      </c>
      <c r="M294" s="6">
        <f>932778.092248395/10000</f>
        <v>93.277809224839501</v>
      </c>
      <c r="N294" s="6">
        <f>1757617.73499898/10000</f>
        <v>175.761773499898</v>
      </c>
      <c r="O294" s="6">
        <f>293798.09846032/10000</f>
        <v>29.379809846031996</v>
      </c>
      <c r="P294" s="6">
        <f>17051269.5521853/10000</f>
        <v>1705.1269552185302</v>
      </c>
      <c r="Q294" s="6">
        <f>1514589.23077703/10000</f>
        <v>151.45892307770302</v>
      </c>
      <c r="R294" s="6">
        <f>68637.895671996/10</f>
        <v>6863.7895671995993</v>
      </c>
      <c r="S294" t="s">
        <v>301</v>
      </c>
      <c r="T294" s="29">
        <v>323.36399999999998</v>
      </c>
      <c r="U294" s="30">
        <f t="shared" si="4"/>
        <v>2.9424966812152009E-2</v>
      </c>
    </row>
    <row r="295" spans="1:21" ht="18.399999999999999" x14ac:dyDescent="0.8">
      <c r="A295" s="1">
        <v>1404</v>
      </c>
      <c r="B295" s="1" t="s">
        <v>293</v>
      </c>
      <c r="C295" s="2" t="str">
        <f t="shared" si="5"/>
        <v>شهریور 1404</v>
      </c>
      <c r="D295" s="5">
        <v>1040000</v>
      </c>
      <c r="E295" s="18">
        <v>698440</v>
      </c>
      <c r="F295" s="23">
        <v>4.99</v>
      </c>
      <c r="G295" s="26">
        <v>2540186</v>
      </c>
      <c r="H295" s="26">
        <v>776656</v>
      </c>
      <c r="I295" s="26">
        <v>23683</v>
      </c>
      <c r="J295" s="6">
        <v>389388</v>
      </c>
      <c r="K295" s="6">
        <v>452367</v>
      </c>
      <c r="L295" s="6">
        <f>76313212.9654302/10000</f>
        <v>7631.3212965430203</v>
      </c>
      <c r="M295" s="6">
        <f>764898.569275486/10000</f>
        <v>76.489856927548601</v>
      </c>
      <c r="N295" s="6">
        <f>2158204.75744489/10000</f>
        <v>215.82047574448902</v>
      </c>
      <c r="O295" s="6">
        <f>332939.390036269/10000</f>
        <v>33.293939003626896</v>
      </c>
      <c r="P295" s="6">
        <f>17234068.1531536/10000</f>
        <v>1723.4068153153598</v>
      </c>
      <c r="Q295" s="6">
        <f>1940626.3644548/10000</f>
        <v>194.06263644548</v>
      </c>
      <c r="R295" s="6">
        <f>100662.408342984/10</f>
        <v>10066.2408342984</v>
      </c>
      <c r="S295" t="s">
        <v>301</v>
      </c>
      <c r="T295" s="29">
        <f>324.368</f>
        <v>324.36799999999999</v>
      </c>
      <c r="U295" s="30">
        <f t="shared" si="4"/>
        <v>3.0767177440369275E-2</v>
      </c>
    </row>
    <row r="296" spans="1:21" ht="18.399999999999999" x14ac:dyDescent="0.8">
      <c r="A296" s="1">
        <v>1404</v>
      </c>
      <c r="B296" s="1" t="s">
        <v>294</v>
      </c>
      <c r="C296" s="2" t="str">
        <f t="shared" si="5"/>
        <v>مهر 1404</v>
      </c>
      <c r="D296" s="13">
        <v>1075600</v>
      </c>
      <c r="E296" s="18">
        <v>702029</v>
      </c>
      <c r="F296" s="23">
        <v>5.9921031861933942</v>
      </c>
      <c r="G296" s="26">
        <v>3079824</v>
      </c>
      <c r="H296" s="26">
        <v>899688</v>
      </c>
      <c r="I296" s="26">
        <v>27056</v>
      </c>
      <c r="J296" s="6">
        <v>450315</v>
      </c>
      <c r="K296" s="6">
        <v>545199</v>
      </c>
      <c r="L296" s="6">
        <f>92272780.5651787/10000</f>
        <v>9227.2780565178709</v>
      </c>
      <c r="M296" s="6">
        <f>1383112.00314175/10000</f>
        <v>138.31120031417501</v>
      </c>
      <c r="N296" s="6">
        <f>2778159.00707485/10000</f>
        <v>277.81590070748501</v>
      </c>
      <c r="O296" s="6">
        <f>461341.543387479/10000</f>
        <v>46.134154338747898</v>
      </c>
      <c r="P296" s="6">
        <f>19590222.9276641/10000</f>
        <v>1959.0222927664101</v>
      </c>
      <c r="Q296" s="6">
        <f>2511447.17169485/10000</f>
        <v>251.14471716948501</v>
      </c>
      <c r="R296" s="6">
        <f>191022.7981248/10</f>
        <v>19102.279812479999</v>
      </c>
      <c r="S296" t="s">
        <v>301</v>
      </c>
      <c r="T296" s="29">
        <f>T284*(1+U296)</f>
        <v>324.91762</v>
      </c>
      <c r="U296" s="30">
        <v>0.03</v>
      </c>
    </row>
    <row r="297" spans="1:21" ht="18.399999999999999" x14ac:dyDescent="0.8">
      <c r="A297" s="1">
        <v>1404</v>
      </c>
      <c r="B297" s="1" t="s">
        <v>295</v>
      </c>
      <c r="C297" s="2" t="str">
        <f t="shared" si="5"/>
        <v>آبان 1404</v>
      </c>
      <c r="D297" s="13">
        <v>1135200</v>
      </c>
      <c r="E297" s="18">
        <v>716918</v>
      </c>
      <c r="F297" s="23">
        <v>6.0479799999999999</v>
      </c>
      <c r="G297" s="26">
        <v>3168531</v>
      </c>
      <c r="H297" s="26">
        <v>923693</v>
      </c>
      <c r="I297" s="26">
        <f>28432.9</f>
        <v>28432.9</v>
      </c>
      <c r="J297" s="6">
        <v>461467</v>
      </c>
      <c r="K297" s="6">
        <v>557643</v>
      </c>
      <c r="L297" s="6">
        <f>94366485.7479924/10000</f>
        <v>9436.6485747992392</v>
      </c>
      <c r="M297" s="6">
        <f>1319732.06514545/10000</f>
        <v>131.97320651454498</v>
      </c>
      <c r="N297" s="6">
        <f>2414388.00532044/10000</f>
        <v>241.43880053204401</v>
      </c>
      <c r="O297" s="6">
        <f>522726.432920375/10000</f>
        <v>52.2726432920375</v>
      </c>
      <c r="P297" s="6">
        <f>20418063.3332183/10000</f>
        <v>2041.8063333218299</v>
      </c>
      <c r="Q297" s="6">
        <f>2185874.98440653/10000</f>
        <v>218.58749844065298</v>
      </c>
      <c r="R297" s="6">
        <f>139718.640695895/10</f>
        <v>13971.864069589501</v>
      </c>
      <c r="S297" t="s">
        <v>301</v>
      </c>
      <c r="T297" s="29">
        <f>T285*(1+U297)</f>
        <v>325.93422999999996</v>
      </c>
      <c r="U297" s="30">
        <v>0.03</v>
      </c>
    </row>
    <row r="298" spans="1:21" ht="18.399999999999999" x14ac:dyDescent="0.8">
      <c r="A298" s="1">
        <v>1404</v>
      </c>
      <c r="B298" s="1" t="s">
        <v>296</v>
      </c>
      <c r="C298" s="2" t="str">
        <f t="shared" si="5"/>
        <v>آذر 1404</v>
      </c>
      <c r="D298" s="13">
        <v>1312250</v>
      </c>
      <c r="E298" s="18">
        <v>781608</v>
      </c>
      <c r="F298" s="23">
        <v>7.2865818292624303</v>
      </c>
      <c r="G298" s="26">
        <f>3898234.62</f>
        <v>3898234.62</v>
      </c>
      <c r="H298" s="26">
        <f>1080884.8</f>
        <v>1080884.8</v>
      </c>
      <c r="I298" s="26">
        <f>32601.7</f>
        <v>32601.7</v>
      </c>
      <c r="J298" s="6">
        <f>538515</f>
        <v>538515</v>
      </c>
      <c r="K298" s="6">
        <f>685213</f>
        <v>685213</v>
      </c>
      <c r="L298" s="6">
        <f>116520311.635514/10000</f>
        <v>11652.031163551401</v>
      </c>
      <c r="M298" s="6">
        <f>2035701.89629816/10000</f>
        <v>203.57018962981601</v>
      </c>
      <c r="N298" s="6">
        <f>2901055.22063258/10000</f>
        <v>290.10552206325804</v>
      </c>
      <c r="O298" s="6">
        <f>692951.250120623/10000</f>
        <v>69.2951250120623</v>
      </c>
      <c r="P298" s="6">
        <f>23346118.5166339/10000</f>
        <v>2334.6118516633901</v>
      </c>
      <c r="Q298" s="6">
        <f>2726265.17974417/10000</f>
        <v>272.62651797441703</v>
      </c>
      <c r="R298" s="6">
        <f>193743.097245982/10</f>
        <v>19374.309724598199</v>
      </c>
      <c r="S298" t="s">
        <v>301</v>
      </c>
      <c r="T298" s="29">
        <f>T286*(1+U298)</f>
        <v>327.21555000000001</v>
      </c>
      <c r="U298" s="30">
        <v>0.03</v>
      </c>
    </row>
    <row r="299" spans="1:21" ht="18.399999999999999" x14ac:dyDescent="0.8">
      <c r="A299" s="1">
        <v>1404</v>
      </c>
      <c r="B299" s="1" t="s">
        <v>297</v>
      </c>
      <c r="C299" s="2" t="str">
        <f t="shared" si="5"/>
        <v>دی 1404</v>
      </c>
      <c r="D299" s="13">
        <v>1455400</v>
      </c>
      <c r="E299" s="18">
        <v>1268486</v>
      </c>
      <c r="F299" s="23">
        <v>8.2530371755398892</v>
      </c>
      <c r="G299" s="26">
        <v>4478509.88</v>
      </c>
      <c r="H299" s="26">
        <v>1118601.6100000001</v>
      </c>
      <c r="I299" s="26">
        <v>34394.300000000003</v>
      </c>
      <c r="J299" s="6">
        <v>555655</v>
      </c>
      <c r="K299" s="6">
        <v>784406</v>
      </c>
      <c r="L299" s="6">
        <f>133932242.660853/10000</f>
        <v>13393.224266085299</v>
      </c>
      <c r="M299" s="6">
        <f>2970218.80168866/10000</f>
        <v>297.02188016886601</v>
      </c>
      <c r="N299" s="6">
        <f>3651828.51583852/10000</f>
        <v>365.18285158385203</v>
      </c>
      <c r="O299" s="6">
        <f>1168286.06166897/10000</f>
        <v>116.82860616689699</v>
      </c>
      <c r="P299" s="6">
        <f>24645965.8996839/10000</f>
        <v>2464.5965899683902</v>
      </c>
      <c r="Q299" s="6">
        <f>3668385.3742795/10000</f>
        <v>366.83853742794997</v>
      </c>
      <c r="R299" s="6">
        <f>342743.040296148/10</f>
        <v>34274.304029614796</v>
      </c>
      <c r="S299" t="s">
        <v>301</v>
      </c>
      <c r="T299" s="29">
        <f>T287*(1+U299)</f>
        <v>327.05699999999996</v>
      </c>
      <c r="U299" s="30">
        <v>2.5000000000000001E-2</v>
      </c>
    </row>
    <row r="300" spans="1:21" ht="18.399999999999999" x14ac:dyDescent="0.8">
      <c r="A300" s="1">
        <v>1404</v>
      </c>
      <c r="B300" s="1" t="s">
        <v>298</v>
      </c>
      <c r="C300" s="2" t="str">
        <f t="shared" si="5"/>
        <v>بهمن 1404</v>
      </c>
      <c r="D300" s="5">
        <v>1635000</v>
      </c>
      <c r="E300" s="18">
        <v>1330000</v>
      </c>
      <c r="F300" s="23">
        <v>6.53</v>
      </c>
      <c r="G300" s="26">
        <f>3806766</f>
        <v>3806766</v>
      </c>
      <c r="H300" s="26">
        <f>980958</f>
        <v>980958</v>
      </c>
      <c r="I300" s="26">
        <f>29130</f>
        <v>29130</v>
      </c>
      <c r="J300" s="6">
        <f>485880</f>
        <v>485880</v>
      </c>
      <c r="K300" s="6">
        <f>666362</f>
        <v>666362</v>
      </c>
      <c r="L300" s="6">
        <f>113764477/10000</f>
        <v>11376.447700000001</v>
      </c>
      <c r="M300" s="6">
        <f>1652941/10000</f>
        <v>165.29409999999999</v>
      </c>
      <c r="N300" s="6">
        <f>2761840/10000</f>
        <v>276.18400000000003</v>
      </c>
      <c r="O300" s="6">
        <f>694736/10000</f>
        <v>69.473600000000005</v>
      </c>
      <c r="P300" s="6">
        <f>21175206/10000</f>
        <v>2117.5205999999998</v>
      </c>
      <c r="Q300" s="6">
        <f>3124138/10000</f>
        <v>312.41379999999998</v>
      </c>
      <c r="R300" s="6">
        <f>183727/10</f>
        <v>18372.7</v>
      </c>
      <c r="S300" t="s">
        <v>301</v>
      </c>
      <c r="T300" s="29">
        <f>T288*(1+U300)</f>
        <v>327.76424999999995</v>
      </c>
      <c r="U300" s="30">
        <v>2.5000000000000001E-2</v>
      </c>
    </row>
    <row r="301" spans="1:21" ht="18.399999999999999" x14ac:dyDescent="0.8">
      <c r="A301" s="1">
        <v>1404</v>
      </c>
      <c r="B301" s="1" t="s">
        <v>299</v>
      </c>
      <c r="C301" s="2" t="str">
        <f t="shared" si="5"/>
        <v>اسفند 1404</v>
      </c>
      <c r="D301" s="5">
        <v>1534810</v>
      </c>
      <c r="E301" s="18">
        <v>1370000</v>
      </c>
      <c r="F301" s="23">
        <v>6.35</v>
      </c>
      <c r="G301" s="26">
        <v>3710088</v>
      </c>
      <c r="H301" s="26">
        <v>795277</v>
      </c>
      <c r="I301" s="26">
        <v>28392.2</v>
      </c>
      <c r="J301" s="6">
        <v>470955</v>
      </c>
      <c r="K301" s="6">
        <v>649740</v>
      </c>
      <c r="L301" s="6">
        <f>111001621.519172/10000</f>
        <v>11100.1621519172</v>
      </c>
      <c r="M301" s="6">
        <f>532398/10000</f>
        <v>53.239800000000002</v>
      </c>
      <c r="N301" s="6">
        <f>1778186/10000</f>
        <v>177.8186</v>
      </c>
      <c r="O301" s="6">
        <f>84045/10000</f>
        <v>8.4045000000000005</v>
      </c>
      <c r="P301" s="6">
        <f>20656369.4487606/10000</f>
        <v>2065.6369448760597</v>
      </c>
      <c r="Q301" s="6">
        <f>1826353/10000</f>
        <v>182.6353</v>
      </c>
      <c r="R301" s="6">
        <f>39885/10</f>
        <v>3988.5</v>
      </c>
      <c r="S301" t="s">
        <v>301</v>
      </c>
      <c r="T301" s="29">
        <f t="shared" ref="T301:T304" si="6">T289*(1+U301)</f>
        <v>330.79634999999996</v>
      </c>
      <c r="U301" s="30">
        <v>3.5000000000000003E-2</v>
      </c>
    </row>
    <row r="302" spans="1:21" ht="18.399999999999999" x14ac:dyDescent="0.8">
      <c r="A302" s="1">
        <v>1405</v>
      </c>
      <c r="B302" s="1" t="s">
        <v>288</v>
      </c>
      <c r="C302" s="2" t="str">
        <f t="shared" si="5"/>
        <v>فروردین 1405</v>
      </c>
      <c r="D302" s="5">
        <v>1525000</v>
      </c>
      <c r="E302" s="18">
        <v>1410000</v>
      </c>
      <c r="F302" s="23">
        <v>6.12</v>
      </c>
      <c r="G302" s="26">
        <v>3710088</v>
      </c>
      <c r="H302" s="26">
        <v>795277</v>
      </c>
      <c r="I302" s="26">
        <v>28392.2</v>
      </c>
      <c r="J302" s="6">
        <v>470955</v>
      </c>
      <c r="K302" s="6">
        <v>646915</v>
      </c>
      <c r="L302" s="6">
        <f>110748670.276943/10000</f>
        <v>11074.867027694299</v>
      </c>
      <c r="M302" s="6">
        <v>0</v>
      </c>
      <c r="N302" s="6">
        <v>0</v>
      </c>
      <c r="O302" s="6">
        <v>0</v>
      </c>
      <c r="P302" s="6">
        <f>20828385.6573411/10000</f>
        <v>2082.83856573411</v>
      </c>
      <c r="Q302" s="6">
        <v>0</v>
      </c>
      <c r="R302" s="6">
        <v>0</v>
      </c>
      <c r="S302" t="s">
        <v>301</v>
      </c>
      <c r="T302" s="29">
        <f t="shared" si="6"/>
        <v>329.92959999999999</v>
      </c>
      <c r="U302" s="57">
        <v>0.03</v>
      </c>
    </row>
    <row r="303" spans="1:21" ht="18.399999999999999" x14ac:dyDescent="0.8">
      <c r="A303" s="1">
        <v>1405</v>
      </c>
      <c r="B303" s="1" t="s">
        <v>289</v>
      </c>
      <c r="C303" s="2" t="str">
        <f t="shared" si="5"/>
        <v>اردیبهشت 1405</v>
      </c>
      <c r="D303" s="5">
        <v>1793000</v>
      </c>
      <c r="E303" s="18">
        <v>1430000</v>
      </c>
      <c r="F303" s="23">
        <v>5.96</v>
      </c>
      <c r="G303" s="26">
        <v>3761304.54</v>
      </c>
      <c r="H303" s="26">
        <v>968595.37</v>
      </c>
      <c r="I303" s="26">
        <v>28392.2</v>
      </c>
      <c r="J303" s="6">
        <v>470955</v>
      </c>
      <c r="K303" s="6">
        <v>654071</v>
      </c>
      <c r="L303" s="6">
        <f>111919430.852023/10000</f>
        <v>11191.9430852023</v>
      </c>
      <c r="M303" s="6">
        <f>171982.502326756/10000</f>
        <v>17.198250232675598</v>
      </c>
      <c r="N303" s="6">
        <f>3352827.56420042/10000</f>
        <v>335.28275642004201</v>
      </c>
      <c r="O303" s="6">
        <f>55540.397866475/10000</f>
        <v>5.5540397866475004</v>
      </c>
      <c r="P303" s="6">
        <f>20590236.10144/10000</f>
        <v>2059.023610144</v>
      </c>
      <c r="Q303" s="6">
        <f>3270677.86520109/10000</f>
        <v>327.067786520109</v>
      </c>
      <c r="R303" s="6">
        <f>15907.008906611/10</f>
        <v>1590.7008906610999</v>
      </c>
      <c r="S303" t="s">
        <v>301</v>
      </c>
      <c r="T303" s="29">
        <f t="shared" si="6"/>
        <v>331.80029999999994</v>
      </c>
      <c r="U303" s="57">
        <v>3.5000000000000003E-2</v>
      </c>
    </row>
    <row r="304" spans="1:21" ht="18.399999999999999" x14ac:dyDescent="0.8">
      <c r="A304" s="1">
        <v>1405</v>
      </c>
      <c r="B304" s="1" t="s">
        <v>290</v>
      </c>
      <c r="C304" s="2" t="str">
        <f t="shared" si="5"/>
        <v>خرداد 1405</v>
      </c>
      <c r="D304" s="13">
        <v>1570000</v>
      </c>
      <c r="E304" s="18">
        <v>1470000</v>
      </c>
      <c r="F304" s="23"/>
      <c r="G304" s="26"/>
      <c r="H304" s="26"/>
      <c r="I304" s="26"/>
      <c r="J304" s="6"/>
      <c r="K304" s="6"/>
      <c r="L304" s="6"/>
      <c r="M304" s="6"/>
      <c r="N304" s="6"/>
      <c r="O304" s="6"/>
      <c r="P304" s="6"/>
      <c r="Q304" s="6"/>
      <c r="R304" s="6"/>
      <c r="S304" t="s">
        <v>301</v>
      </c>
      <c r="T304" s="29">
        <f t="shared" si="6"/>
        <v>332.7525</v>
      </c>
      <c r="U304" s="57">
        <v>3.5000000000000003E-2</v>
      </c>
    </row>
    <row r="305" spans="4:4" x14ac:dyDescent="0.45">
      <c r="D305" s="14"/>
    </row>
    <row r="306" spans="4:4" x14ac:dyDescent="0.45">
      <c r="D306" s="14"/>
    </row>
    <row r="307" spans="4:4" x14ac:dyDescent="0.45">
      <c r="D307" s="14"/>
    </row>
    <row r="308" spans="4:4" x14ac:dyDescent="0.45">
      <c r="D308" s="14"/>
    </row>
    <row r="309" spans="4:4" x14ac:dyDescent="0.45">
      <c r="D309" s="14"/>
    </row>
    <row r="310" spans="4:4" x14ac:dyDescent="0.45">
      <c r="D310" s="14"/>
    </row>
    <row r="311" spans="4:4" x14ac:dyDescent="0.45">
      <c r="D311" s="14"/>
    </row>
    <row r="312" spans="4:4" x14ac:dyDescent="0.45">
      <c r="D312" s="14"/>
    </row>
    <row r="313" spans="4:4" x14ac:dyDescent="0.45">
      <c r="D313" s="14"/>
    </row>
    <row r="314" spans="4:4" x14ac:dyDescent="0.45">
      <c r="D314" s="14"/>
    </row>
    <row r="315" spans="4:4" x14ac:dyDescent="0.45">
      <c r="D315" s="14"/>
    </row>
    <row r="316" spans="4:4" x14ac:dyDescent="0.45">
      <c r="D316" s="14"/>
    </row>
    <row r="317" spans="4:4" x14ac:dyDescent="0.45">
      <c r="D317" s="14"/>
    </row>
    <row r="318" spans="4:4" x14ac:dyDescent="0.45">
      <c r="D318" s="14"/>
    </row>
    <row r="319" spans="4:4" x14ac:dyDescent="0.45">
      <c r="D319" s="14"/>
    </row>
    <row r="320" spans="4:4" x14ac:dyDescent="0.45">
      <c r="D320" s="14"/>
    </row>
    <row r="321" spans="4:4" x14ac:dyDescent="0.45">
      <c r="D321" s="14"/>
    </row>
    <row r="322" spans="4:4" x14ac:dyDescent="0.45">
      <c r="D322" s="14"/>
    </row>
    <row r="323" spans="4:4" ht="16.5" x14ac:dyDescent="0.45">
      <c r="D323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721E-ABE0-4281-88F4-75ADD72DBE26}">
  <dimension ref="A1:P324"/>
  <sheetViews>
    <sheetView rightToLeft="1" zoomScaleNormal="100" workbookViewId="0">
      <pane xSplit="3" ySplit="1" topLeftCell="D267" activePane="bottomRight" state="frozen"/>
      <selection pane="topRight" activeCell="D1" sqref="D1"/>
      <selection pane="bottomLeft" activeCell="A3" sqref="A3"/>
      <selection pane="bottomRight" activeCell="D281" sqref="D281"/>
    </sheetView>
  </sheetViews>
  <sheetFormatPr defaultRowHeight="14.25" x14ac:dyDescent="0.45"/>
  <cols>
    <col min="1" max="2" width="9.46484375" customWidth="1"/>
    <col min="3" max="3" width="12.46484375" bestFit="1" customWidth="1"/>
    <col min="4" max="4" width="12.53125" customWidth="1"/>
    <col min="5" max="5" width="19.86328125" customWidth="1"/>
    <col min="6" max="6" width="10" customWidth="1"/>
    <col min="8" max="8" width="11.1328125" bestFit="1" customWidth="1"/>
    <col min="9" max="9" width="11.1328125" customWidth="1"/>
    <col min="10" max="10" width="13.86328125" bestFit="1" customWidth="1"/>
    <col min="11" max="11" width="10.53125" customWidth="1"/>
    <col min="12" max="12" width="19.796875" bestFit="1" customWidth="1"/>
    <col min="13" max="13" width="14.33203125" customWidth="1"/>
    <col min="14" max="14" width="17.73046875" bestFit="1" customWidth="1"/>
    <col min="15" max="15" width="13.53125" bestFit="1" customWidth="1"/>
    <col min="16" max="16" width="13.265625" bestFit="1" customWidth="1"/>
    <col min="17" max="17" width="11.46484375" customWidth="1"/>
  </cols>
  <sheetData>
    <row r="1" spans="1:16" ht="32.65" customHeight="1" thickBot="1" x14ac:dyDescent="0.5">
      <c r="A1" s="37" t="s">
        <v>349</v>
      </c>
      <c r="B1" s="37" t="s">
        <v>350</v>
      </c>
      <c r="C1" s="37" t="s">
        <v>351</v>
      </c>
      <c r="D1" s="45" t="s">
        <v>333</v>
      </c>
      <c r="E1" s="45" t="s">
        <v>342</v>
      </c>
      <c r="F1" s="46" t="s">
        <v>327</v>
      </c>
      <c r="G1" s="46" t="s">
        <v>328</v>
      </c>
      <c r="H1" s="46" t="s">
        <v>329</v>
      </c>
      <c r="I1" s="44" t="s">
        <v>303</v>
      </c>
      <c r="J1" s="44" t="s">
        <v>304</v>
      </c>
      <c r="K1" s="47" t="s">
        <v>330</v>
      </c>
      <c r="L1" s="48" t="s">
        <v>331</v>
      </c>
      <c r="M1" s="44" t="s">
        <v>354</v>
      </c>
      <c r="N1" s="44" t="s">
        <v>355</v>
      </c>
      <c r="O1" s="44"/>
      <c r="P1" s="44"/>
    </row>
    <row r="2" spans="1:16" ht="18.399999999999999" x14ac:dyDescent="0.45">
      <c r="A2" s="1">
        <v>1382</v>
      </c>
      <c r="B2" s="1" t="s">
        <v>288</v>
      </c>
      <c r="C2" s="2" t="s">
        <v>24</v>
      </c>
      <c r="D2" s="5">
        <v>8184.5</v>
      </c>
      <c r="F2" s="34">
        <v>0.14807058890905239</v>
      </c>
      <c r="G2" s="34">
        <v>0.14717952096746359</v>
      </c>
      <c r="H2" s="34">
        <v>0.12264108785108306</v>
      </c>
      <c r="I2" s="28"/>
      <c r="J2" s="28"/>
      <c r="K2" s="32">
        <v>3.4</v>
      </c>
      <c r="L2" s="34">
        <v>0.11664825858104379</v>
      </c>
    </row>
    <row r="3" spans="1:16" ht="18.399999999999999" x14ac:dyDescent="0.45">
      <c r="A3" s="1">
        <v>1382</v>
      </c>
      <c r="B3" s="1" t="s">
        <v>289</v>
      </c>
      <c r="C3" s="2" t="s">
        <v>25</v>
      </c>
      <c r="D3" s="5">
        <v>8182.58</v>
      </c>
      <c r="F3" s="34">
        <v>0.14762044864113646</v>
      </c>
      <c r="G3" s="34">
        <v>0.14717952096746359</v>
      </c>
      <c r="H3" s="34">
        <v>0.11697806456678635</v>
      </c>
      <c r="I3" s="28"/>
      <c r="J3" s="28"/>
      <c r="K3" s="32">
        <v>3.4</v>
      </c>
      <c r="L3" s="34">
        <v>0.10965452270429381</v>
      </c>
    </row>
    <row r="4" spans="1:16" ht="18.399999999999999" x14ac:dyDescent="0.45">
      <c r="A4" s="1">
        <v>1382</v>
      </c>
      <c r="B4" s="1" t="s">
        <v>290</v>
      </c>
      <c r="C4" s="2" t="s">
        <v>26</v>
      </c>
      <c r="D4" s="5">
        <v>8189.78</v>
      </c>
      <c r="F4" s="34">
        <v>0.14780117223653449</v>
      </c>
      <c r="G4" s="34">
        <v>0.14717952096746359</v>
      </c>
      <c r="H4" s="34">
        <v>0.12737527428049916</v>
      </c>
      <c r="I4" s="28"/>
      <c r="J4" s="28"/>
      <c r="K4" s="32">
        <v>3.5</v>
      </c>
      <c r="L4" s="34">
        <v>0.12265420983437551</v>
      </c>
    </row>
    <row r="5" spans="1:16" ht="18.399999999999999" x14ac:dyDescent="0.45">
      <c r="A5" s="1">
        <v>1382</v>
      </c>
      <c r="B5" s="1" t="s">
        <v>291</v>
      </c>
      <c r="C5" s="2" t="s">
        <v>27</v>
      </c>
      <c r="D5" s="5">
        <v>8231.27</v>
      </c>
      <c r="F5" s="34">
        <v>0.17064570049626154</v>
      </c>
      <c r="G5" s="34">
        <v>0.17061442936533738</v>
      </c>
      <c r="H5" s="34">
        <v>0.13761676039831386</v>
      </c>
      <c r="I5" s="28"/>
      <c r="J5" s="28"/>
      <c r="K5" s="32">
        <v>3.6</v>
      </c>
      <c r="L5" s="34">
        <v>0.12936413073982678</v>
      </c>
    </row>
    <row r="6" spans="1:16" ht="18.399999999999999" x14ac:dyDescent="0.45">
      <c r="A6" s="1">
        <v>1382</v>
      </c>
      <c r="B6" s="1" t="s">
        <v>292</v>
      </c>
      <c r="C6" s="2" t="s">
        <v>28</v>
      </c>
      <c r="D6" s="5">
        <v>8313.9599999999991</v>
      </c>
      <c r="F6" s="34">
        <v>0.1709260649231564</v>
      </c>
      <c r="G6" s="34">
        <v>0.17061442936533738</v>
      </c>
      <c r="H6" s="34">
        <v>0.13853405240907279</v>
      </c>
      <c r="I6" s="28"/>
      <c r="J6" s="28"/>
      <c r="K6" s="32">
        <v>3.6</v>
      </c>
      <c r="L6" s="34">
        <v>0.13055345482575006</v>
      </c>
    </row>
    <row r="7" spans="1:16" ht="18.399999999999999" x14ac:dyDescent="0.45">
      <c r="A7" s="1">
        <v>1382</v>
      </c>
      <c r="B7" s="1" t="s">
        <v>293</v>
      </c>
      <c r="C7" s="2" t="s">
        <v>29</v>
      </c>
      <c r="D7" s="5">
        <v>8438.58</v>
      </c>
      <c r="F7" s="34">
        <v>0.17082861891870407</v>
      </c>
      <c r="G7" s="34">
        <v>0.17061442936533738</v>
      </c>
      <c r="H7" s="34">
        <v>0.13730378101168042</v>
      </c>
      <c r="I7" s="28"/>
      <c r="J7" s="28"/>
      <c r="K7" s="32">
        <v>3.6</v>
      </c>
      <c r="L7" s="34">
        <v>0.1290189829870762</v>
      </c>
    </row>
    <row r="8" spans="1:16" ht="18.399999999999999" x14ac:dyDescent="0.45">
      <c r="A8" s="1">
        <v>1382</v>
      </c>
      <c r="B8" s="1" t="s">
        <v>294</v>
      </c>
      <c r="C8" s="2" t="s">
        <v>30</v>
      </c>
      <c r="D8" s="5">
        <v>8395.65</v>
      </c>
      <c r="F8" s="34">
        <v>0.19330562465360784</v>
      </c>
      <c r="G8" s="34">
        <v>0.19426491880949798</v>
      </c>
      <c r="H8" s="34">
        <v>0.14880997464604037</v>
      </c>
      <c r="I8" s="29"/>
      <c r="J8" s="28"/>
      <c r="K8" s="32">
        <v>3.7</v>
      </c>
      <c r="L8" s="34">
        <v>0.13687183168103473</v>
      </c>
    </row>
    <row r="9" spans="1:16" ht="18.399999999999999" x14ac:dyDescent="0.45">
      <c r="A9" s="1">
        <v>1382</v>
      </c>
      <c r="B9" s="1" t="s">
        <v>295</v>
      </c>
      <c r="C9" s="2" t="s">
        <v>31</v>
      </c>
      <c r="D9" s="5">
        <v>8373.75</v>
      </c>
      <c r="F9" s="34">
        <v>0.19345567204253286</v>
      </c>
      <c r="G9" s="34">
        <v>0.19426491880949798</v>
      </c>
      <c r="H9" s="34">
        <v>0.15558591748293155</v>
      </c>
      <c r="I9" s="29"/>
      <c r="J9" s="28"/>
      <c r="K9" s="32">
        <v>3.7</v>
      </c>
      <c r="L9" s="34">
        <v>0.14548786452781542</v>
      </c>
    </row>
    <row r="10" spans="1:16" ht="18.399999999999999" x14ac:dyDescent="0.45">
      <c r="A10" s="1">
        <v>1382</v>
      </c>
      <c r="B10" s="1" t="s">
        <v>296</v>
      </c>
      <c r="C10" s="2" t="s">
        <v>32</v>
      </c>
      <c r="D10" s="5">
        <v>8376.6299999999992</v>
      </c>
      <c r="F10" s="34">
        <v>0.19424978777500285</v>
      </c>
      <c r="G10" s="34">
        <v>0.19426491880949798</v>
      </c>
      <c r="H10" s="34">
        <v>0.15213138044723989</v>
      </c>
      <c r="I10" s="29"/>
      <c r="J10" s="28"/>
      <c r="K10" s="32">
        <v>3.7</v>
      </c>
      <c r="L10" s="34">
        <v>0.14127166586024373</v>
      </c>
    </row>
    <row r="11" spans="1:16" ht="18.399999999999999" x14ac:dyDescent="0.45">
      <c r="A11" s="1">
        <v>1382</v>
      </c>
      <c r="B11" s="1" t="s">
        <v>297</v>
      </c>
      <c r="C11" s="2" t="s">
        <v>33</v>
      </c>
      <c r="D11" s="5">
        <v>8349.1200000000008</v>
      </c>
      <c r="F11" s="34">
        <v>0.21051634776587222</v>
      </c>
      <c r="G11" s="34">
        <v>0.21119768002290157</v>
      </c>
      <c r="H11" s="34">
        <v>0.15016482989349966</v>
      </c>
      <c r="I11" s="29"/>
      <c r="J11" s="28"/>
      <c r="K11" s="32">
        <v>3.8</v>
      </c>
      <c r="L11" s="34">
        <v>0.13444282274072578</v>
      </c>
    </row>
    <row r="12" spans="1:16" ht="18.399999999999999" x14ac:dyDescent="0.45">
      <c r="A12" s="1">
        <v>1382</v>
      </c>
      <c r="B12" s="1" t="s">
        <v>298</v>
      </c>
      <c r="C12" s="2" t="s">
        <v>34</v>
      </c>
      <c r="D12" s="5">
        <v>8402.27</v>
      </c>
      <c r="F12" s="34">
        <v>0.21047838509132702</v>
      </c>
      <c r="G12" s="34">
        <v>0.21119768002290157</v>
      </c>
      <c r="H12" s="34">
        <v>0.13816679050655112</v>
      </c>
      <c r="I12" s="29"/>
      <c r="J12" s="28"/>
      <c r="K12" s="32">
        <v>3.8</v>
      </c>
      <c r="L12" s="34">
        <v>0.11954004887936719</v>
      </c>
    </row>
    <row r="13" spans="1:16" ht="18.399999999999999" x14ac:dyDescent="0.45">
      <c r="A13" s="1">
        <v>1382</v>
      </c>
      <c r="B13" s="1" t="s">
        <v>299</v>
      </c>
      <c r="C13" s="2" t="s">
        <v>35</v>
      </c>
      <c r="D13" s="5">
        <v>8434.18</v>
      </c>
      <c r="F13" s="34">
        <v>0.2107104994522733</v>
      </c>
      <c r="G13" s="34">
        <v>0.21119768002290157</v>
      </c>
      <c r="H13" s="34">
        <v>0.13968475681380241</v>
      </c>
      <c r="I13" s="29"/>
      <c r="J13" s="28"/>
      <c r="K13" s="32">
        <v>3.8</v>
      </c>
      <c r="L13" s="34">
        <v>0.12150444405423415</v>
      </c>
    </row>
    <row r="14" spans="1:16" ht="18.399999999999999" x14ac:dyDescent="0.45">
      <c r="A14" s="1">
        <v>1383</v>
      </c>
      <c r="B14" s="1" t="s">
        <v>288</v>
      </c>
      <c r="C14" s="2" t="s">
        <v>36</v>
      </c>
      <c r="D14" s="5">
        <v>8535.7900000000009</v>
      </c>
      <c r="F14" s="34">
        <v>0.20349610249833844</v>
      </c>
      <c r="G14" s="34">
        <v>0.2042084834194749</v>
      </c>
      <c r="H14" s="34">
        <v>0.1445250639721023</v>
      </c>
      <c r="I14" s="29">
        <v>187.4</v>
      </c>
      <c r="J14" s="28"/>
      <c r="K14" s="32">
        <v>3.9</v>
      </c>
      <c r="L14" s="34">
        <v>0.12923988390981805</v>
      </c>
    </row>
    <row r="15" spans="1:16" ht="18.399999999999999" x14ac:dyDescent="0.45">
      <c r="A15" s="1">
        <v>1383</v>
      </c>
      <c r="B15" s="1" t="s">
        <v>289</v>
      </c>
      <c r="C15" s="2" t="s">
        <v>37</v>
      </c>
      <c r="D15" s="5">
        <v>8588.6200000000008</v>
      </c>
      <c r="F15" s="34">
        <v>0.20357302774224167</v>
      </c>
      <c r="G15" s="34">
        <v>0.2042084834194749</v>
      </c>
      <c r="H15" s="34">
        <v>0.14649846183339904</v>
      </c>
      <c r="I15" s="29">
        <v>188.2</v>
      </c>
      <c r="J15" s="28"/>
      <c r="K15" s="32">
        <v>3.9</v>
      </c>
      <c r="L15" s="34">
        <v>0.13179958868467678</v>
      </c>
    </row>
    <row r="16" spans="1:16" ht="18.399999999999999" x14ac:dyDescent="0.45">
      <c r="A16" s="1">
        <v>1383</v>
      </c>
      <c r="B16" s="1" t="s">
        <v>290</v>
      </c>
      <c r="C16" s="2" t="s">
        <v>38</v>
      </c>
      <c r="D16" s="5">
        <v>8619.92</v>
      </c>
      <c r="F16" s="34">
        <v>0.20328794693732632</v>
      </c>
      <c r="G16" s="34">
        <v>0.2042084834194749</v>
      </c>
      <c r="H16" s="34">
        <v>0.13751000351560763</v>
      </c>
      <c r="I16" s="29">
        <v>188.9</v>
      </c>
      <c r="J16" s="28"/>
      <c r="K16" s="32">
        <v>4</v>
      </c>
      <c r="L16" s="34">
        <v>0.12082334707498774</v>
      </c>
    </row>
    <row r="17" spans="1:12" ht="18.399999999999999" x14ac:dyDescent="0.45">
      <c r="A17" s="1">
        <v>1383</v>
      </c>
      <c r="B17" s="1" t="s">
        <v>291</v>
      </c>
      <c r="C17" s="2" t="s">
        <v>39</v>
      </c>
      <c r="D17" s="5">
        <v>8671.85</v>
      </c>
      <c r="F17" s="34">
        <v>0.19266399774215159</v>
      </c>
      <c r="G17" s="34">
        <v>0.19313021914892617</v>
      </c>
      <c r="H17" s="34">
        <v>0.13831553623455675</v>
      </c>
      <c r="I17" s="29">
        <v>189.1</v>
      </c>
      <c r="J17" s="28"/>
      <c r="K17" s="32">
        <v>4.0999999999999996</v>
      </c>
      <c r="L17" s="34">
        <v>0.12395037865621177</v>
      </c>
    </row>
    <row r="18" spans="1:12" ht="18.399999999999999" x14ac:dyDescent="0.45">
      <c r="A18" s="1">
        <v>1383</v>
      </c>
      <c r="B18" s="1" t="s">
        <v>292</v>
      </c>
      <c r="C18" s="2" t="s">
        <v>40</v>
      </c>
      <c r="D18" s="5">
        <v>8755.92</v>
      </c>
      <c r="F18" s="34">
        <v>0.19218695247898496</v>
      </c>
      <c r="G18" s="34">
        <v>0.19313021914892617</v>
      </c>
      <c r="H18" s="34">
        <v>0.14255526821649639</v>
      </c>
      <c r="I18" s="29">
        <v>189.2</v>
      </c>
      <c r="J18" s="28"/>
      <c r="K18" s="32">
        <v>4.0999999999999996</v>
      </c>
      <c r="L18" s="34">
        <v>0.12938253354467746</v>
      </c>
    </row>
    <row r="19" spans="1:12" ht="18.399999999999999" x14ac:dyDescent="0.45">
      <c r="A19" s="1">
        <v>1383</v>
      </c>
      <c r="B19" s="1" t="s">
        <v>293</v>
      </c>
      <c r="C19" s="2" t="s">
        <v>41</v>
      </c>
      <c r="D19" s="5">
        <v>8778.34</v>
      </c>
      <c r="F19" s="34">
        <v>0.19215198823205526</v>
      </c>
      <c r="G19" s="34">
        <v>0.19313021914892617</v>
      </c>
      <c r="H19" s="34">
        <v>0.15121078029521143</v>
      </c>
      <c r="I19" s="29">
        <v>189.8</v>
      </c>
      <c r="J19" s="28"/>
      <c r="K19" s="32">
        <v>4.0999999999999996</v>
      </c>
      <c r="L19" s="34">
        <v>0.14028994780551443</v>
      </c>
    </row>
    <row r="20" spans="1:12" ht="18.399999999999999" x14ac:dyDescent="0.45">
      <c r="A20" s="1">
        <v>1383</v>
      </c>
      <c r="B20" s="1" t="s">
        <v>294</v>
      </c>
      <c r="C20" s="2" t="s">
        <v>42</v>
      </c>
      <c r="D20" s="5">
        <v>8785</v>
      </c>
      <c r="F20" s="34">
        <v>0.17083791548714486</v>
      </c>
      <c r="G20" s="34">
        <v>0.17043198935427498</v>
      </c>
      <c r="H20" s="34">
        <v>0.15010851791972782</v>
      </c>
      <c r="I20" s="29">
        <v>190.8</v>
      </c>
      <c r="J20" s="28"/>
      <c r="K20" s="32">
        <v>4.2</v>
      </c>
      <c r="L20" s="34">
        <v>0.14438859718131994</v>
      </c>
    </row>
    <row r="21" spans="1:12" ht="18.399999999999999" x14ac:dyDescent="0.45">
      <c r="A21" s="1">
        <v>1383</v>
      </c>
      <c r="B21" s="1" t="s">
        <v>295</v>
      </c>
      <c r="C21" s="2" t="s">
        <v>43</v>
      </c>
      <c r="D21" s="5">
        <v>8797</v>
      </c>
      <c r="F21" s="34">
        <v>0.17133331042713934</v>
      </c>
      <c r="G21" s="34">
        <v>0.17043198935427498</v>
      </c>
      <c r="H21" s="34">
        <v>0.14440659268427836</v>
      </c>
      <c r="I21" s="29">
        <v>191.7</v>
      </c>
      <c r="J21" s="28"/>
      <c r="K21" s="32">
        <v>4.3</v>
      </c>
      <c r="L21" s="34">
        <v>0.13720205624926066</v>
      </c>
    </row>
    <row r="22" spans="1:12" ht="18.399999999999999" x14ac:dyDescent="0.45">
      <c r="A22" s="1">
        <v>1383</v>
      </c>
      <c r="B22" s="1" t="s">
        <v>296</v>
      </c>
      <c r="C22" s="2" t="s">
        <v>44</v>
      </c>
      <c r="D22" s="5">
        <v>8816</v>
      </c>
      <c r="F22" s="34">
        <v>0.17081012236902127</v>
      </c>
      <c r="G22" s="34">
        <v>0.17043198935427498</v>
      </c>
      <c r="H22" s="34">
        <v>0.14323332603836009</v>
      </c>
      <c r="I22" s="29">
        <v>191.7</v>
      </c>
      <c r="J22" s="28"/>
      <c r="K22" s="32">
        <v>4.3</v>
      </c>
      <c r="L22" s="34">
        <v>0.13577913727175711</v>
      </c>
    </row>
    <row r="23" spans="1:12" ht="18.399999999999999" x14ac:dyDescent="0.45">
      <c r="A23" s="1">
        <v>1383</v>
      </c>
      <c r="B23" s="1" t="s">
        <v>297</v>
      </c>
      <c r="C23" s="2" t="s">
        <v>45</v>
      </c>
      <c r="D23" s="5">
        <v>8827</v>
      </c>
      <c r="F23" s="34">
        <v>0.16722274515506158</v>
      </c>
      <c r="G23" s="34">
        <v>0.16668780001099207</v>
      </c>
      <c r="H23" s="34">
        <v>0.1446283773467725</v>
      </c>
      <c r="I23" s="29">
        <v>191.6</v>
      </c>
      <c r="J23" s="28"/>
      <c r="K23" s="32">
        <v>4.3</v>
      </c>
      <c r="L23" s="34">
        <v>0.13853772734491415</v>
      </c>
    </row>
    <row r="24" spans="1:12" ht="18.399999999999999" x14ac:dyDescent="0.45">
      <c r="A24" s="1">
        <v>1383</v>
      </c>
      <c r="B24" s="1" t="s">
        <v>298</v>
      </c>
      <c r="C24" s="2" t="s">
        <v>46</v>
      </c>
      <c r="D24" s="5">
        <v>8888</v>
      </c>
      <c r="F24" s="34">
        <v>0.1675903203111227</v>
      </c>
      <c r="G24" s="34">
        <v>0.16668780001099207</v>
      </c>
      <c r="H24" s="34">
        <v>0.15246699725324389</v>
      </c>
      <c r="I24" s="29">
        <v>192.4</v>
      </c>
      <c r="J24" s="28"/>
      <c r="K24" s="32">
        <v>4.4000000000000004</v>
      </c>
      <c r="L24" s="34">
        <v>0.14852400447237543</v>
      </c>
    </row>
    <row r="25" spans="1:12" ht="18.399999999999999" x14ac:dyDescent="0.45">
      <c r="A25" s="1">
        <v>1383</v>
      </c>
      <c r="B25" s="1" t="s">
        <v>299</v>
      </c>
      <c r="C25" s="2" t="s">
        <v>47</v>
      </c>
      <c r="D25" s="5">
        <v>8882</v>
      </c>
      <c r="F25" s="34">
        <v>0.16740242868734684</v>
      </c>
      <c r="G25" s="34">
        <v>0.16668780001099207</v>
      </c>
      <c r="H25" s="34">
        <v>0.15684793134678388</v>
      </c>
      <c r="I25" s="29">
        <v>193.1</v>
      </c>
      <c r="J25" s="28"/>
      <c r="K25" s="32">
        <v>4.4000000000000004</v>
      </c>
      <c r="L25" s="34">
        <v>0.15412903365944586</v>
      </c>
    </row>
    <row r="26" spans="1:12" ht="18.399999999999999" x14ac:dyDescent="0.45">
      <c r="A26" s="1">
        <v>1384</v>
      </c>
      <c r="B26" s="1" t="s">
        <v>288</v>
      </c>
      <c r="C26" s="2" t="s">
        <v>48</v>
      </c>
      <c r="D26" s="5">
        <v>8905</v>
      </c>
      <c r="F26" s="34">
        <v>0.15509653802895301</v>
      </c>
      <c r="G26" s="34">
        <v>0.15404929159940736</v>
      </c>
      <c r="H26" s="34">
        <v>0.15984862295694072</v>
      </c>
      <c r="I26" s="29">
        <v>193.7</v>
      </c>
      <c r="J26" s="28"/>
      <c r="K26" s="32">
        <v>4.5999999999999996</v>
      </c>
      <c r="L26" s="34">
        <v>0.16140873628668628</v>
      </c>
    </row>
    <row r="27" spans="1:12" ht="18.399999999999999" x14ac:dyDescent="0.45">
      <c r="A27" s="1">
        <v>1384</v>
      </c>
      <c r="B27" s="1" t="s">
        <v>289</v>
      </c>
      <c r="C27" s="2" t="s">
        <v>49</v>
      </c>
      <c r="D27" s="5">
        <v>8916</v>
      </c>
      <c r="F27" s="34">
        <v>0.15473452504229798</v>
      </c>
      <c r="G27" s="34">
        <v>0.15404929159940736</v>
      </c>
      <c r="H27" s="34">
        <v>0.13941505338962429</v>
      </c>
      <c r="I27" s="29">
        <v>193.6</v>
      </c>
      <c r="J27" s="28"/>
      <c r="K27" s="32">
        <v>4.5</v>
      </c>
      <c r="L27" s="34">
        <v>0.13540948475534109</v>
      </c>
    </row>
    <row r="28" spans="1:12" ht="18.399999999999999" x14ac:dyDescent="0.45">
      <c r="A28" s="1">
        <v>1384</v>
      </c>
      <c r="B28" s="1" t="s">
        <v>290</v>
      </c>
      <c r="C28" s="2" t="s">
        <v>50</v>
      </c>
      <c r="D28" s="5">
        <v>8987</v>
      </c>
      <c r="F28" s="34">
        <v>0.15459651281683606</v>
      </c>
      <c r="G28" s="34">
        <v>0.15404929159940736</v>
      </c>
      <c r="H28" s="34">
        <v>0.13207363507181299</v>
      </c>
      <c r="I28" s="29">
        <v>193.7</v>
      </c>
      <c r="J28" s="28"/>
      <c r="K28" s="32">
        <v>4.5</v>
      </c>
      <c r="L28" s="34">
        <v>0.12612398696385596</v>
      </c>
    </row>
    <row r="29" spans="1:12" ht="18.399999999999999" x14ac:dyDescent="0.45">
      <c r="A29" s="1">
        <v>1384</v>
      </c>
      <c r="B29" s="1" t="s">
        <v>291</v>
      </c>
      <c r="C29" s="2" t="s">
        <v>51</v>
      </c>
      <c r="D29" s="5">
        <v>9008</v>
      </c>
      <c r="F29" s="34">
        <v>0.14915264404918133</v>
      </c>
      <c r="G29" s="34">
        <v>0.14893532420183192</v>
      </c>
      <c r="H29" s="34">
        <v>0.11731326276547009</v>
      </c>
      <c r="I29" s="29">
        <v>194.9</v>
      </c>
      <c r="J29" s="28"/>
      <c r="K29" s="32">
        <v>4.5999999999999996</v>
      </c>
      <c r="L29" s="34">
        <v>0.10851256842284031</v>
      </c>
    </row>
    <row r="30" spans="1:12" ht="18.399999999999999" x14ac:dyDescent="0.45">
      <c r="A30" s="1">
        <v>1384</v>
      </c>
      <c r="B30" s="1" t="s">
        <v>292</v>
      </c>
      <c r="C30" s="2" t="s">
        <v>52</v>
      </c>
      <c r="D30" s="5">
        <v>9024</v>
      </c>
      <c r="F30" s="34">
        <v>0.14929926745241873</v>
      </c>
      <c r="G30" s="34">
        <v>0.14893532420183192</v>
      </c>
      <c r="H30" s="34">
        <v>0.11156836019350379</v>
      </c>
      <c r="I30" s="29">
        <v>196.1</v>
      </c>
      <c r="J30" s="28"/>
      <c r="K30" s="32">
        <v>4.5999999999999996</v>
      </c>
      <c r="L30" s="34">
        <v>0.10127866751909892</v>
      </c>
    </row>
    <row r="31" spans="1:12" ht="18.399999999999999" x14ac:dyDescent="0.45">
      <c r="A31" s="1">
        <v>1384</v>
      </c>
      <c r="B31" s="1" t="s">
        <v>293</v>
      </c>
      <c r="C31" s="2" t="s">
        <v>53</v>
      </c>
      <c r="D31" s="5">
        <v>9034</v>
      </c>
      <c r="F31" s="34">
        <v>0.14913737748585348</v>
      </c>
      <c r="G31" s="34">
        <v>0.14893532420183192</v>
      </c>
      <c r="H31" s="34">
        <v>0.10656607761285514</v>
      </c>
      <c r="I31" s="29">
        <v>198.8</v>
      </c>
      <c r="J31" s="28"/>
      <c r="K31" s="32">
        <v>4.5999999999999996</v>
      </c>
      <c r="L31" s="34">
        <v>9.5001633919708159E-2</v>
      </c>
    </row>
    <row r="32" spans="1:12" ht="18.399999999999999" x14ac:dyDescent="0.45">
      <c r="A32" s="1">
        <v>1384</v>
      </c>
      <c r="B32" s="1" t="s">
        <v>294</v>
      </c>
      <c r="C32" s="2" t="s">
        <v>54</v>
      </c>
      <c r="D32" s="5">
        <v>9053</v>
      </c>
      <c r="F32" s="34">
        <v>0.16958865707834775</v>
      </c>
      <c r="G32" s="34">
        <v>0.17066771665561192</v>
      </c>
      <c r="H32" s="34">
        <v>0.11636732710048463</v>
      </c>
      <c r="I32" s="29">
        <v>199.1</v>
      </c>
      <c r="J32" s="28"/>
      <c r="K32" s="32">
        <v>4.7</v>
      </c>
      <c r="L32" s="34">
        <v>0.10102611292142256</v>
      </c>
    </row>
    <row r="33" spans="1:12" ht="18.399999999999999" x14ac:dyDescent="0.45">
      <c r="A33" s="1">
        <v>1384</v>
      </c>
      <c r="B33" s="1" t="s">
        <v>295</v>
      </c>
      <c r="C33" s="2" t="s">
        <v>55</v>
      </c>
      <c r="D33" s="5">
        <v>9083</v>
      </c>
      <c r="F33" s="34">
        <v>0.16894663665913442</v>
      </c>
      <c r="G33" s="34">
        <v>0.17066771665561192</v>
      </c>
      <c r="H33" s="34">
        <v>0.11784620335287627</v>
      </c>
      <c r="I33" s="29">
        <v>198.1</v>
      </c>
      <c r="J33" s="28"/>
      <c r="K33" s="32">
        <v>4.8</v>
      </c>
      <c r="L33" s="34">
        <v>0.10302227650705006</v>
      </c>
    </row>
    <row r="34" spans="1:12" ht="18.399999999999999" x14ac:dyDescent="0.45">
      <c r="A34" s="1">
        <v>1384</v>
      </c>
      <c r="B34" s="1" t="s">
        <v>296</v>
      </c>
      <c r="C34" s="2" t="s">
        <v>56</v>
      </c>
      <c r="D34" s="5">
        <v>9099</v>
      </c>
      <c r="F34" s="34">
        <v>0.16861623097266645</v>
      </c>
      <c r="G34" s="34">
        <v>0.17066771665561192</v>
      </c>
      <c r="H34" s="34">
        <v>0.11731401111820033</v>
      </c>
      <c r="I34" s="29">
        <v>198.1</v>
      </c>
      <c r="J34" s="28"/>
      <c r="K34" s="32">
        <v>4.8</v>
      </c>
      <c r="L34" s="34">
        <v>0.10246295078761819</v>
      </c>
    </row>
    <row r="35" spans="1:12" ht="18.399999999999999" x14ac:dyDescent="0.45">
      <c r="A35" s="1">
        <v>1384</v>
      </c>
      <c r="B35" s="1" t="s">
        <v>297</v>
      </c>
      <c r="C35" s="2" t="s">
        <v>57</v>
      </c>
      <c r="D35" s="5">
        <v>9106</v>
      </c>
      <c r="F35" s="34">
        <v>0.15570374531215875</v>
      </c>
      <c r="G35" s="34">
        <v>0.15742970000046469</v>
      </c>
      <c r="H35" s="34">
        <v>0.11509535138087472</v>
      </c>
      <c r="I35" s="29">
        <v>199.3</v>
      </c>
      <c r="J35" s="28"/>
      <c r="K35" s="32">
        <v>4.8</v>
      </c>
      <c r="L35" s="34">
        <v>0.10314377951922381</v>
      </c>
    </row>
    <row r="36" spans="1:12" ht="18.399999999999999" x14ac:dyDescent="0.45">
      <c r="A36" s="1">
        <v>1384</v>
      </c>
      <c r="B36" s="1" t="s">
        <v>298</v>
      </c>
      <c r="C36" s="2" t="s">
        <v>58</v>
      </c>
      <c r="D36" s="5">
        <v>9134</v>
      </c>
      <c r="F36" s="34">
        <v>0.15523681660067892</v>
      </c>
      <c r="G36" s="34">
        <v>0.15742970000046469</v>
      </c>
      <c r="H36" s="34">
        <v>0.11460254927645351</v>
      </c>
      <c r="I36" s="29">
        <v>199.4</v>
      </c>
      <c r="J36" s="28"/>
      <c r="K36" s="32">
        <v>4.9000000000000004</v>
      </c>
      <c r="L36" s="34">
        <v>0.10258097770191882</v>
      </c>
    </row>
    <row r="37" spans="1:12" ht="18.399999999999999" x14ac:dyDescent="0.45">
      <c r="A37" s="1">
        <v>1384</v>
      </c>
      <c r="B37" s="1" t="s">
        <v>299</v>
      </c>
      <c r="C37" s="2" t="s">
        <v>59</v>
      </c>
      <c r="D37" s="5">
        <v>9152</v>
      </c>
      <c r="F37" s="34">
        <v>0.15514257868689768</v>
      </c>
      <c r="G37" s="34">
        <v>0.15742970000046469</v>
      </c>
      <c r="H37" s="34">
        <v>0.10960451837660415</v>
      </c>
      <c r="I37" s="29">
        <v>199.7</v>
      </c>
      <c r="J37" s="28"/>
      <c r="K37" s="32">
        <v>4.9000000000000004</v>
      </c>
      <c r="L37" s="34">
        <v>9.63115123894525E-2</v>
      </c>
    </row>
    <row r="38" spans="1:12" ht="18.399999999999999" x14ac:dyDescent="0.45">
      <c r="A38" s="1">
        <v>1385</v>
      </c>
      <c r="B38" s="1" t="s">
        <v>288</v>
      </c>
      <c r="C38" s="2" t="s">
        <v>60</v>
      </c>
      <c r="D38" s="5">
        <v>9163</v>
      </c>
      <c r="F38" s="34">
        <v>0.17869613509574905</v>
      </c>
      <c r="G38" s="34">
        <v>0.18207019285522619</v>
      </c>
      <c r="H38" s="34">
        <v>9.7543823827049181E-2</v>
      </c>
      <c r="I38" s="29">
        <v>200.7</v>
      </c>
      <c r="J38" s="29"/>
      <c r="K38" s="32">
        <v>5</v>
      </c>
      <c r="L38" s="34">
        <v>7.4481984594263931E-2</v>
      </c>
    </row>
    <row r="39" spans="1:12" ht="18.399999999999999" x14ac:dyDescent="0.45">
      <c r="A39" s="1">
        <v>1385</v>
      </c>
      <c r="B39" s="1" t="s">
        <v>289</v>
      </c>
      <c r="C39" s="2" t="s">
        <v>61</v>
      </c>
      <c r="D39" s="5">
        <v>9166</v>
      </c>
      <c r="F39" s="34">
        <v>0.17855560866666281</v>
      </c>
      <c r="G39" s="34">
        <v>0.18207019285522619</v>
      </c>
      <c r="H39" s="34">
        <v>0.11420456018589561</v>
      </c>
      <c r="I39" s="29">
        <v>201.3</v>
      </c>
      <c r="J39" s="30"/>
      <c r="K39" s="32">
        <v>5</v>
      </c>
      <c r="L39" s="34">
        <v>9.5397535979901568E-2</v>
      </c>
    </row>
    <row r="40" spans="1:12" ht="18.399999999999999" x14ac:dyDescent="0.45">
      <c r="A40" s="1">
        <v>1385</v>
      </c>
      <c r="B40" s="1" t="s">
        <v>290</v>
      </c>
      <c r="C40" s="2" t="s">
        <v>62</v>
      </c>
      <c r="D40" s="5">
        <v>9174</v>
      </c>
      <c r="F40" s="34">
        <v>0.17839497386809725</v>
      </c>
      <c r="G40" s="34">
        <v>0.18207019285522619</v>
      </c>
      <c r="H40" s="34">
        <v>0.11688919257504055</v>
      </c>
      <c r="I40" s="29">
        <v>201.8</v>
      </c>
      <c r="J40" s="30"/>
      <c r="K40" s="32">
        <v>5</v>
      </c>
      <c r="L40" s="34">
        <v>9.8830635397537919E-2</v>
      </c>
    </row>
    <row r="41" spans="1:12" ht="18.399999999999999" x14ac:dyDescent="0.45">
      <c r="A41" s="1">
        <v>1385</v>
      </c>
      <c r="B41" s="1" t="s">
        <v>291</v>
      </c>
      <c r="C41" s="2" t="s">
        <v>63</v>
      </c>
      <c r="D41" s="5">
        <v>9193</v>
      </c>
      <c r="F41" s="34">
        <v>0.21692095270168266</v>
      </c>
      <c r="G41" s="34">
        <v>0.22202177433252415</v>
      </c>
      <c r="H41" s="34">
        <v>0.13458425263323817</v>
      </c>
      <c r="I41" s="29">
        <v>202.9</v>
      </c>
      <c r="J41" s="30"/>
      <c r="K41" s="32">
        <v>5.2</v>
      </c>
      <c r="L41" s="34">
        <v>0.10908752944026318</v>
      </c>
    </row>
    <row r="42" spans="1:12" ht="18.399999999999999" x14ac:dyDescent="0.45">
      <c r="A42" s="1">
        <v>1385</v>
      </c>
      <c r="B42" s="1" t="s">
        <v>292</v>
      </c>
      <c r="C42" s="2" t="s">
        <v>64</v>
      </c>
      <c r="D42" s="5">
        <v>9211</v>
      </c>
      <c r="F42" s="34">
        <v>0.2168953631027648</v>
      </c>
      <c r="G42" s="34">
        <v>0.22202177433252415</v>
      </c>
      <c r="H42" s="34">
        <v>0.13598676550360239</v>
      </c>
      <c r="I42" s="29">
        <v>203.8</v>
      </c>
      <c r="J42" s="30"/>
      <c r="K42" s="32">
        <v>5.2</v>
      </c>
      <c r="L42" s="34">
        <v>0.11100222524969425</v>
      </c>
    </row>
    <row r="43" spans="1:12" ht="18.399999999999999" x14ac:dyDescent="0.45">
      <c r="A43" s="1">
        <v>1385</v>
      </c>
      <c r="B43" s="1" t="s">
        <v>293</v>
      </c>
      <c r="C43" s="2" t="s">
        <v>65</v>
      </c>
      <c r="D43" s="5">
        <v>9219</v>
      </c>
      <c r="F43" s="34">
        <v>0.2170278337094203</v>
      </c>
      <c r="G43" s="34">
        <v>0.22202177433252415</v>
      </c>
      <c r="H43" s="34">
        <v>0.14305129918928741</v>
      </c>
      <c r="I43" s="29">
        <v>202.8</v>
      </c>
      <c r="J43" s="30"/>
      <c r="K43" s="32">
        <v>5.2</v>
      </c>
      <c r="L43" s="34">
        <v>0.12017320969470432</v>
      </c>
    </row>
    <row r="44" spans="1:12" ht="18.399999999999999" x14ac:dyDescent="0.45">
      <c r="A44" s="1">
        <v>1385</v>
      </c>
      <c r="B44" s="1" t="s">
        <v>294</v>
      </c>
      <c r="C44" s="2" t="s">
        <v>66</v>
      </c>
      <c r="D44" s="5">
        <v>9226</v>
      </c>
      <c r="F44" s="34">
        <v>0.20567779250926152</v>
      </c>
      <c r="G44" s="34">
        <v>0.20974206863427214</v>
      </c>
      <c r="H44" s="34">
        <v>0.13806020235688507</v>
      </c>
      <c r="I44" s="29">
        <v>201.9</v>
      </c>
      <c r="J44" s="30"/>
      <c r="K44" s="32">
        <v>5.4</v>
      </c>
      <c r="L44" s="34">
        <v>0.11634538674897769</v>
      </c>
    </row>
    <row r="45" spans="1:12" ht="18.399999999999999" x14ac:dyDescent="0.45">
      <c r="A45" s="1">
        <v>1385</v>
      </c>
      <c r="B45" s="1" t="s">
        <v>295</v>
      </c>
      <c r="C45" s="2" t="s">
        <v>67</v>
      </c>
      <c r="D45" s="5">
        <v>9241</v>
      </c>
      <c r="F45" s="34">
        <v>0.20571249538606851</v>
      </c>
      <c r="G45" s="34">
        <v>0.20974206863427214</v>
      </c>
      <c r="H45" s="34">
        <v>0.13616109798223364</v>
      </c>
      <c r="I45" s="29">
        <v>202</v>
      </c>
      <c r="J45" s="30"/>
      <c r="K45" s="32">
        <v>5.4</v>
      </c>
      <c r="L45" s="34">
        <v>0.11406169081077849</v>
      </c>
    </row>
    <row r="46" spans="1:12" ht="18.399999999999999" x14ac:dyDescent="0.45">
      <c r="A46" s="1">
        <v>1385</v>
      </c>
      <c r="B46" s="1" t="s">
        <v>296</v>
      </c>
      <c r="C46" s="2" t="s">
        <v>68</v>
      </c>
      <c r="D46" s="5">
        <v>9263</v>
      </c>
      <c r="F46" s="34">
        <v>0.20581303250724162</v>
      </c>
      <c r="G46" s="34">
        <v>0.20974206863427214</v>
      </c>
      <c r="H46" s="34">
        <v>0.1478486180056926</v>
      </c>
      <c r="I46" s="29">
        <v>203.1</v>
      </c>
      <c r="J46" s="30"/>
      <c r="K46" s="32">
        <v>5.5</v>
      </c>
      <c r="L46" s="34">
        <v>0.12938135033393622</v>
      </c>
    </row>
    <row r="47" spans="1:12" ht="18.399999999999999" x14ac:dyDescent="0.45">
      <c r="A47" s="1">
        <v>1385</v>
      </c>
      <c r="B47" s="1" t="s">
        <v>297</v>
      </c>
      <c r="C47" s="2" t="s">
        <v>69</v>
      </c>
      <c r="D47" s="5">
        <v>9270</v>
      </c>
      <c r="F47" s="34">
        <v>0.23150583544817324</v>
      </c>
      <c r="G47" s="34">
        <v>0.23632717116421445</v>
      </c>
      <c r="H47" s="34">
        <v>0.15812554044490043</v>
      </c>
      <c r="I47" s="29">
        <v>203.43700000000001</v>
      </c>
      <c r="J47" s="30"/>
      <c r="K47" s="32">
        <v>5.6</v>
      </c>
      <c r="L47" s="34">
        <v>0.13491153704380168</v>
      </c>
    </row>
    <row r="48" spans="1:12" ht="18.399999999999999" x14ac:dyDescent="0.45">
      <c r="A48" s="1">
        <v>1385</v>
      </c>
      <c r="B48" s="1" t="s">
        <v>298</v>
      </c>
      <c r="C48" s="2" t="s">
        <v>70</v>
      </c>
      <c r="D48" s="5">
        <v>9278</v>
      </c>
      <c r="F48" s="34">
        <v>0.23156081885662488</v>
      </c>
      <c r="G48" s="34">
        <v>0.23632717116421445</v>
      </c>
      <c r="H48" s="34">
        <v>0.15899940010189056</v>
      </c>
      <c r="I48" s="29">
        <v>204.226</v>
      </c>
      <c r="J48" s="30"/>
      <c r="K48" s="32">
        <v>5.6</v>
      </c>
      <c r="L48" s="34">
        <v>0.13616382902665961</v>
      </c>
    </row>
    <row r="49" spans="1:12" ht="18.399999999999999" x14ac:dyDescent="0.45">
      <c r="A49" s="1">
        <v>1385</v>
      </c>
      <c r="B49" s="1" t="s">
        <v>299</v>
      </c>
      <c r="C49" s="2" t="s">
        <v>71</v>
      </c>
      <c r="D49" s="5">
        <v>9311</v>
      </c>
      <c r="F49" s="34">
        <v>0.23156833036358421</v>
      </c>
      <c r="G49" s="34">
        <v>0.23632717116421445</v>
      </c>
      <c r="H49" s="34">
        <v>0.15712203445940928</v>
      </c>
      <c r="I49" s="29">
        <v>205.28800000000001</v>
      </c>
      <c r="J49" s="30"/>
      <c r="K49" s="32">
        <v>5.6</v>
      </c>
      <c r="L49" s="34">
        <v>0.13382995497593414</v>
      </c>
    </row>
    <row r="50" spans="1:12" ht="18.399999999999999" x14ac:dyDescent="0.45">
      <c r="A50" s="1">
        <v>1386</v>
      </c>
      <c r="B50" s="1" t="s">
        <v>288</v>
      </c>
      <c r="C50" s="2" t="s">
        <v>72</v>
      </c>
      <c r="D50" s="5">
        <v>9318</v>
      </c>
      <c r="F50" s="34">
        <v>0.2275829351049535</v>
      </c>
      <c r="G50" s="34">
        <v>0.23188162575864651</v>
      </c>
      <c r="H50" s="34">
        <v>0.15787895716097552</v>
      </c>
      <c r="I50" s="29">
        <v>205.904</v>
      </c>
      <c r="J50" s="30">
        <f t="shared" ref="J50:J113" si="0">I50/I38-1</f>
        <v>2.5929247633283525E-2</v>
      </c>
      <c r="K50" s="32">
        <v>5.8</v>
      </c>
      <c r="L50" s="34">
        <v>0.1356863212556236</v>
      </c>
    </row>
    <row r="51" spans="1:12" ht="18.399999999999999" x14ac:dyDescent="0.45">
      <c r="A51" s="1">
        <v>1386</v>
      </c>
      <c r="B51" s="1" t="s">
        <v>289</v>
      </c>
      <c r="C51" s="2" t="s">
        <v>73</v>
      </c>
      <c r="D51" s="5">
        <v>9299</v>
      </c>
      <c r="F51" s="34">
        <v>0.22846035320623087</v>
      </c>
      <c r="G51" s="34">
        <v>0.23188162575864651</v>
      </c>
      <c r="H51" s="34">
        <v>0.15290666350636856</v>
      </c>
      <c r="I51" s="29">
        <v>206.755</v>
      </c>
      <c r="J51" s="30">
        <f t="shared" si="0"/>
        <v>2.7098857426726131E-2</v>
      </c>
      <c r="K51" s="32">
        <v>5.8</v>
      </c>
      <c r="L51" s="34">
        <v>0.12932629679816471</v>
      </c>
    </row>
    <row r="52" spans="1:12" ht="18.399999999999999" x14ac:dyDescent="0.45">
      <c r="A52" s="1">
        <v>1386</v>
      </c>
      <c r="B52" s="1" t="s">
        <v>290</v>
      </c>
      <c r="C52" s="2" t="s">
        <v>74</v>
      </c>
      <c r="D52" s="5">
        <v>9304</v>
      </c>
      <c r="F52" s="34">
        <v>0.22936304962229428</v>
      </c>
      <c r="G52" s="34">
        <v>0.23188162575864651</v>
      </c>
      <c r="H52" s="34">
        <v>0.15983442008431908</v>
      </c>
      <c r="I52" s="29">
        <v>207.23400000000001</v>
      </c>
      <c r="J52" s="30">
        <f t="shared" si="0"/>
        <v>2.692765113974227E-2</v>
      </c>
      <c r="K52" s="32">
        <v>5.8</v>
      </c>
      <c r="L52" s="34">
        <v>0.13839511516860953</v>
      </c>
    </row>
    <row r="53" spans="1:12" ht="18.399999999999999" x14ac:dyDescent="0.45">
      <c r="A53" s="1">
        <v>1386</v>
      </c>
      <c r="B53" s="1" t="s">
        <v>291</v>
      </c>
      <c r="C53" s="2" t="s">
        <v>75</v>
      </c>
      <c r="D53" s="5">
        <v>9324</v>
      </c>
      <c r="F53" s="34">
        <v>0.21883423699181548</v>
      </c>
      <c r="G53" s="34">
        <v>0.21981402258473665</v>
      </c>
      <c r="H53" s="34">
        <v>0.16235572305159438</v>
      </c>
      <c r="I53" s="29">
        <v>207.60300000000001</v>
      </c>
      <c r="J53" s="30">
        <f t="shared" si="0"/>
        <v>2.3178905864958077E-2</v>
      </c>
      <c r="K53" s="32">
        <v>6</v>
      </c>
      <c r="L53" s="34">
        <v>0.14405368933950385</v>
      </c>
    </row>
    <row r="54" spans="1:12" ht="18.399999999999999" x14ac:dyDescent="0.45">
      <c r="A54" s="1">
        <v>1386</v>
      </c>
      <c r="B54" s="1" t="s">
        <v>292</v>
      </c>
      <c r="C54" s="2" t="s">
        <v>76</v>
      </c>
      <c r="D54" s="5">
        <v>9349</v>
      </c>
      <c r="F54" s="34">
        <v>0.21914351915308403</v>
      </c>
      <c r="G54" s="34">
        <v>0.21981402258473665</v>
      </c>
      <c r="H54" s="34">
        <v>0.16068097021668962</v>
      </c>
      <c r="I54" s="29">
        <v>207.667</v>
      </c>
      <c r="J54" s="30">
        <f t="shared" si="0"/>
        <v>1.8974484789008761E-2</v>
      </c>
      <c r="K54" s="32">
        <v>6</v>
      </c>
      <c r="L54" s="34">
        <v>0.14195830970405665</v>
      </c>
    </row>
    <row r="55" spans="1:12" ht="18.399999999999999" x14ac:dyDescent="0.45">
      <c r="A55" s="1">
        <v>1386</v>
      </c>
      <c r="B55" s="1" t="s">
        <v>293</v>
      </c>
      <c r="C55" s="2" t="s">
        <v>77</v>
      </c>
      <c r="D55" s="5">
        <v>9369</v>
      </c>
      <c r="F55" s="34">
        <v>0.21927345634253115</v>
      </c>
      <c r="G55" s="34">
        <v>0.21981402258473665</v>
      </c>
      <c r="H55" s="34">
        <v>0.15810211341675484</v>
      </c>
      <c r="I55" s="29">
        <v>208.547</v>
      </c>
      <c r="J55" s="30">
        <f t="shared" si="0"/>
        <v>2.8338264299802685E-2</v>
      </c>
      <c r="K55" s="32">
        <v>6.1</v>
      </c>
      <c r="L55" s="34">
        <v>0.13878614863737312</v>
      </c>
    </row>
    <row r="56" spans="1:12" ht="18.399999999999999" x14ac:dyDescent="0.45">
      <c r="A56" s="1">
        <v>1386</v>
      </c>
      <c r="B56" s="1" t="s">
        <v>294</v>
      </c>
      <c r="C56" s="2" t="s">
        <v>78</v>
      </c>
      <c r="D56" s="5">
        <v>9376</v>
      </c>
      <c r="F56" s="34">
        <v>0.25142244428496113</v>
      </c>
      <c r="G56" s="34">
        <v>0.25266178719474225</v>
      </c>
      <c r="H56" s="34">
        <v>0.17533752414222831</v>
      </c>
      <c r="I56" s="29">
        <v>209.19</v>
      </c>
      <c r="J56" s="30">
        <f t="shared" si="0"/>
        <v>3.610698365527476E-2</v>
      </c>
      <c r="K56" s="32">
        <v>6.3</v>
      </c>
      <c r="L56" s="34">
        <v>0.15021255395320182</v>
      </c>
    </row>
    <row r="57" spans="1:12" ht="18.399999999999999" x14ac:dyDescent="0.45">
      <c r="A57" s="1">
        <v>1386</v>
      </c>
      <c r="B57" s="1" t="s">
        <v>295</v>
      </c>
      <c r="C57" s="2" t="s">
        <v>79</v>
      </c>
      <c r="D57" s="5">
        <v>9376</v>
      </c>
      <c r="F57" s="34">
        <v>0.25198277054686868</v>
      </c>
      <c r="G57" s="34">
        <v>0.25266178719474225</v>
      </c>
      <c r="H57" s="34">
        <v>0.18453796168726327</v>
      </c>
      <c r="I57" s="29">
        <v>210.834</v>
      </c>
      <c r="J57" s="30">
        <f t="shared" si="0"/>
        <v>4.373267326732666E-2</v>
      </c>
      <c r="K57" s="32">
        <v>6.4</v>
      </c>
      <c r="L57" s="34">
        <v>0.16255657890354441</v>
      </c>
    </row>
    <row r="58" spans="1:12" ht="18.399999999999999" x14ac:dyDescent="0.45">
      <c r="A58" s="1">
        <v>1386</v>
      </c>
      <c r="B58" s="1" t="s">
        <v>296</v>
      </c>
      <c r="C58" s="2" t="s">
        <v>80</v>
      </c>
      <c r="D58" s="5">
        <v>9435</v>
      </c>
      <c r="F58" s="34">
        <v>0.25224478040805337</v>
      </c>
      <c r="G58" s="34">
        <v>0.25266178719474225</v>
      </c>
      <c r="H58" s="34">
        <v>0.17800666793502073</v>
      </c>
      <c r="I58" s="29">
        <v>211.44499999999999</v>
      </c>
      <c r="J58" s="30">
        <f t="shared" si="0"/>
        <v>4.1088133924175319E-2</v>
      </c>
      <c r="K58" s="32">
        <v>6.5</v>
      </c>
      <c r="L58" s="34">
        <v>0.15441676815496833</v>
      </c>
    </row>
    <row r="59" spans="1:12" ht="18.399999999999999" x14ac:dyDescent="0.45">
      <c r="A59" s="1">
        <v>1386</v>
      </c>
      <c r="B59" s="1" t="s">
        <v>297</v>
      </c>
      <c r="C59" s="2" t="s">
        <v>81</v>
      </c>
      <c r="D59" s="5">
        <v>9430</v>
      </c>
      <c r="F59" s="34">
        <v>0.26530097824579824</v>
      </c>
      <c r="G59" s="34">
        <v>0.26584008888925253</v>
      </c>
      <c r="H59" s="34">
        <v>0.18184098928206652</v>
      </c>
      <c r="I59" s="29">
        <v>212.17400000000001</v>
      </c>
      <c r="J59" s="30">
        <f t="shared" si="0"/>
        <v>4.294695655165981E-2</v>
      </c>
      <c r="K59" s="32">
        <v>6.6</v>
      </c>
      <c r="L59" s="34">
        <v>0.15466213479793908</v>
      </c>
    </row>
    <row r="60" spans="1:12" ht="18.399999999999999" x14ac:dyDescent="0.45">
      <c r="A60" s="1">
        <v>1386</v>
      </c>
      <c r="B60" s="1" t="s">
        <v>298</v>
      </c>
      <c r="C60" s="2" t="s">
        <v>82</v>
      </c>
      <c r="D60" s="5">
        <v>9399</v>
      </c>
      <c r="F60" s="34">
        <v>0.26538675715538901</v>
      </c>
      <c r="G60" s="34">
        <v>0.26584008888925253</v>
      </c>
      <c r="H60" s="34">
        <v>0.18641698903901185</v>
      </c>
      <c r="I60" s="29">
        <v>212.68700000000001</v>
      </c>
      <c r="J60" s="30">
        <f t="shared" si="0"/>
        <v>4.1429592706119678E-2</v>
      </c>
      <c r="K60" s="32">
        <v>6.7</v>
      </c>
      <c r="L60" s="34">
        <v>0.16087698161528749</v>
      </c>
    </row>
    <row r="61" spans="1:12" ht="18.399999999999999" x14ac:dyDescent="0.45">
      <c r="A61" s="1">
        <v>1386</v>
      </c>
      <c r="B61" s="1" t="s">
        <v>299</v>
      </c>
      <c r="C61" s="2" t="s">
        <v>83</v>
      </c>
      <c r="D61" s="5">
        <v>9305</v>
      </c>
      <c r="F61" s="34">
        <v>0.27446040783432452</v>
      </c>
      <c r="G61" s="34">
        <v>0.27452527697423007</v>
      </c>
      <c r="H61" s="34">
        <v>0.20264065305221921</v>
      </c>
      <c r="I61" s="29">
        <v>213.44800000000001</v>
      </c>
      <c r="J61" s="30">
        <f t="shared" si="0"/>
        <v>3.9749035501344343E-2</v>
      </c>
      <c r="K61" s="32">
        <v>6.8</v>
      </c>
      <c r="L61" s="34">
        <v>0.17952697095842396</v>
      </c>
    </row>
    <row r="62" spans="1:12" ht="18.399999999999999" x14ac:dyDescent="0.45">
      <c r="A62" s="1">
        <v>1387</v>
      </c>
      <c r="B62" s="1" t="s">
        <v>288</v>
      </c>
      <c r="C62" s="2" t="s">
        <v>84</v>
      </c>
      <c r="D62" s="5">
        <v>9191</v>
      </c>
      <c r="F62" s="34">
        <v>0.28112097582216622</v>
      </c>
      <c r="G62" s="34">
        <v>0.28058522558966131</v>
      </c>
      <c r="H62" s="34">
        <v>0.21810608982852359</v>
      </c>
      <c r="I62" s="29">
        <v>213.94200000000001</v>
      </c>
      <c r="J62" s="30">
        <f t="shared" si="0"/>
        <v>3.9037609759888126E-2</v>
      </c>
      <c r="K62" s="32">
        <v>7</v>
      </c>
      <c r="L62" s="34">
        <v>0.19782047192974744</v>
      </c>
    </row>
    <row r="63" spans="1:12" ht="18.399999999999999" x14ac:dyDescent="0.45">
      <c r="A63" s="1">
        <v>1387</v>
      </c>
      <c r="B63" s="1" t="s">
        <v>289</v>
      </c>
      <c r="C63" s="2" t="s">
        <v>85</v>
      </c>
      <c r="D63" s="5">
        <v>9253</v>
      </c>
      <c r="F63" s="34">
        <v>0.31799476879765565</v>
      </c>
      <c r="G63" s="34">
        <v>0.31831040443688208</v>
      </c>
      <c r="H63" s="34">
        <v>0.24587362411347699</v>
      </c>
      <c r="I63" s="29">
        <v>215.208</v>
      </c>
      <c r="J63" s="30">
        <f t="shared" si="0"/>
        <v>4.088413823123993E-2</v>
      </c>
      <c r="K63" s="32">
        <v>7.2</v>
      </c>
      <c r="L63" s="34">
        <v>0.22228935761408281</v>
      </c>
    </row>
    <row r="64" spans="1:12" ht="18.399999999999999" x14ac:dyDescent="0.45">
      <c r="A64" s="1">
        <v>1387</v>
      </c>
      <c r="B64" s="1" t="s">
        <v>290</v>
      </c>
      <c r="C64" s="2" t="s">
        <v>86</v>
      </c>
      <c r="D64" s="5">
        <v>9328</v>
      </c>
      <c r="F64" s="34">
        <v>0.34924096526911369</v>
      </c>
      <c r="G64" s="34">
        <v>0.35103633289834846</v>
      </c>
      <c r="H64" s="34">
        <v>0.26334347785070505</v>
      </c>
      <c r="I64" s="29">
        <v>217.46299999999999</v>
      </c>
      <c r="J64" s="30">
        <f t="shared" si="0"/>
        <v>4.9359661059478643E-2</v>
      </c>
      <c r="K64" s="32">
        <v>7.4</v>
      </c>
      <c r="L64" s="34">
        <v>0.23508218807414466</v>
      </c>
    </row>
    <row r="65" spans="1:12" ht="18.399999999999999" x14ac:dyDescent="0.45">
      <c r="A65" s="1">
        <v>1387</v>
      </c>
      <c r="B65" s="1" t="s">
        <v>291</v>
      </c>
      <c r="C65" s="2" t="s">
        <v>87</v>
      </c>
      <c r="D65" s="5">
        <v>9307</v>
      </c>
      <c r="F65" s="34">
        <v>0.3021907617613141</v>
      </c>
      <c r="G65" s="34">
        <v>0.30263931134622368</v>
      </c>
      <c r="H65" s="34">
        <v>0.25183017961398035</v>
      </c>
      <c r="I65" s="29">
        <v>219.01599999999999</v>
      </c>
      <c r="J65" s="30">
        <f t="shared" si="0"/>
        <v>5.4975120783418374E-2</v>
      </c>
      <c r="K65" s="32">
        <v>7.5</v>
      </c>
      <c r="L65" s="34">
        <v>0.2348115338599723</v>
      </c>
    </row>
    <row r="66" spans="1:12" ht="18.399999999999999" x14ac:dyDescent="0.45">
      <c r="A66" s="1">
        <v>1387</v>
      </c>
      <c r="B66" s="1" t="s">
        <v>292</v>
      </c>
      <c r="C66" s="2" t="s">
        <v>88</v>
      </c>
      <c r="D66" s="5">
        <v>9436</v>
      </c>
      <c r="F66" s="34">
        <v>0.33914429411389418</v>
      </c>
      <c r="G66" s="34">
        <v>0.34117223026037863</v>
      </c>
      <c r="H66" s="34">
        <v>0.27166093567054189</v>
      </c>
      <c r="I66" s="29">
        <v>218.69</v>
      </c>
      <c r="J66" s="30">
        <f t="shared" si="0"/>
        <v>5.3080171620912386E-2</v>
      </c>
      <c r="K66" s="32">
        <v>7.7</v>
      </c>
      <c r="L66" s="34">
        <v>0.24853701702726141</v>
      </c>
    </row>
    <row r="67" spans="1:12" ht="18.399999999999999" x14ac:dyDescent="0.45">
      <c r="A67" s="1">
        <v>1387</v>
      </c>
      <c r="B67" s="1" t="s">
        <v>293</v>
      </c>
      <c r="C67" s="2" t="s">
        <v>89</v>
      </c>
      <c r="D67" s="5">
        <v>9723</v>
      </c>
      <c r="F67" s="34">
        <v>0.38304695295030144</v>
      </c>
      <c r="G67" s="34">
        <v>0.38675801232526086</v>
      </c>
      <c r="H67" s="34">
        <v>0.29797491585948932</v>
      </c>
      <c r="I67" s="29">
        <v>218.87700000000001</v>
      </c>
      <c r="J67" s="30">
        <f t="shared" si="0"/>
        <v>4.9533198751360752E-2</v>
      </c>
      <c r="K67" s="32">
        <v>7.9</v>
      </c>
      <c r="L67" s="34">
        <v>0.26852397160603386</v>
      </c>
    </row>
    <row r="68" spans="1:12" ht="18.399999999999999" x14ac:dyDescent="0.45">
      <c r="A68" s="1">
        <v>1387</v>
      </c>
      <c r="B68" s="1" t="s">
        <v>294</v>
      </c>
      <c r="C68" s="2" t="s">
        <v>90</v>
      </c>
      <c r="D68" s="5">
        <v>9846</v>
      </c>
      <c r="F68" s="34">
        <v>0.31936327505803463</v>
      </c>
      <c r="G68" s="34">
        <v>0.32082455282167444</v>
      </c>
      <c r="H68" s="34">
        <v>0.27583078926128013</v>
      </c>
      <c r="I68" s="29">
        <v>216.995</v>
      </c>
      <c r="J68" s="30">
        <f t="shared" si="0"/>
        <v>3.7310578899565128E-2</v>
      </c>
      <c r="K68" s="32">
        <v>8.1</v>
      </c>
      <c r="L68" s="34">
        <v>0.25983183158290829</v>
      </c>
    </row>
    <row r="69" spans="1:12" ht="18.399999999999999" x14ac:dyDescent="0.45">
      <c r="A69" s="1">
        <v>1387</v>
      </c>
      <c r="B69" s="1" t="s">
        <v>295</v>
      </c>
      <c r="C69" s="2" t="s">
        <v>91</v>
      </c>
      <c r="D69" s="5">
        <v>10274</v>
      </c>
      <c r="F69" s="34">
        <v>0.33531111470060948</v>
      </c>
      <c r="G69" s="34">
        <v>0.33769229598704753</v>
      </c>
      <c r="H69" s="34">
        <v>0.27727720055991384</v>
      </c>
      <c r="I69" s="29">
        <v>213.15299999999999</v>
      </c>
      <c r="J69" s="30">
        <f t="shared" si="0"/>
        <v>1.0999174706166848E-2</v>
      </c>
      <c r="K69" s="32">
        <v>8.1999999999999993</v>
      </c>
      <c r="L69" s="34">
        <v>0.25610641295639197</v>
      </c>
    </row>
    <row r="70" spans="1:12" ht="18.399999999999999" x14ac:dyDescent="0.45">
      <c r="A70" s="1">
        <v>1387</v>
      </c>
      <c r="B70" s="1" t="s">
        <v>296</v>
      </c>
      <c r="C70" s="2" t="s">
        <v>92</v>
      </c>
      <c r="D70" s="5">
        <v>10174</v>
      </c>
      <c r="F70" s="34">
        <v>0.35204670203769695</v>
      </c>
      <c r="G70" s="34">
        <v>0.35549391499540206</v>
      </c>
      <c r="H70" s="34">
        <v>0.2774960702738028</v>
      </c>
      <c r="I70" s="29">
        <v>211.398</v>
      </c>
      <c r="J70" s="30">
        <f t="shared" si="0"/>
        <v>-2.2228002553859039E-4</v>
      </c>
      <c r="K70" s="32">
        <v>8.3000000000000007</v>
      </c>
      <c r="L70" s="34">
        <v>0.25051932717483155</v>
      </c>
    </row>
    <row r="71" spans="1:12" ht="18.399999999999999" x14ac:dyDescent="0.45">
      <c r="A71" s="1">
        <v>1387</v>
      </c>
      <c r="B71" s="1" t="s">
        <v>297</v>
      </c>
      <c r="C71" s="2" t="s">
        <v>93</v>
      </c>
      <c r="D71" s="5">
        <v>9942</v>
      </c>
      <c r="F71" s="34">
        <v>0.30489390361349022</v>
      </c>
      <c r="G71" s="34">
        <v>0.30706511510084794</v>
      </c>
      <c r="H71" s="34">
        <v>0.24712022299585001</v>
      </c>
      <c r="I71" s="29">
        <v>211.93299999999999</v>
      </c>
      <c r="J71" s="30">
        <f t="shared" si="0"/>
        <v>-1.1358601902212717E-3</v>
      </c>
      <c r="K71" s="32">
        <v>8.3000000000000007</v>
      </c>
      <c r="L71" s="34">
        <v>0.22585804528935013</v>
      </c>
    </row>
    <row r="72" spans="1:12" ht="18.399999999999999" x14ac:dyDescent="0.45">
      <c r="A72" s="1">
        <v>1387</v>
      </c>
      <c r="B72" s="1" t="s">
        <v>298</v>
      </c>
      <c r="C72" s="2" t="s">
        <v>94</v>
      </c>
      <c r="D72" s="5">
        <v>9775</v>
      </c>
      <c r="F72" s="34">
        <v>0.30724402731893607</v>
      </c>
      <c r="G72" s="34">
        <v>0.30979570841847559</v>
      </c>
      <c r="H72" s="34">
        <v>0.22964488558230925</v>
      </c>
      <c r="I72" s="29">
        <v>212.70500000000001</v>
      </c>
      <c r="J72" s="30">
        <f t="shared" si="0"/>
        <v>8.4631406715107715E-5</v>
      </c>
      <c r="K72" s="32">
        <v>8.1999999999999993</v>
      </c>
      <c r="L72" s="34">
        <v>0.20155163665194095</v>
      </c>
    </row>
    <row r="73" spans="1:12" ht="18.399999999999999" x14ac:dyDescent="0.45">
      <c r="A73" s="1">
        <v>1387</v>
      </c>
      <c r="B73" s="1" t="s">
        <v>299</v>
      </c>
      <c r="C73" s="2" t="s">
        <v>95</v>
      </c>
      <c r="D73" s="5">
        <v>9888</v>
      </c>
      <c r="F73" s="34">
        <v>0.29878695126302801</v>
      </c>
      <c r="G73" s="34">
        <v>0.30202053616617663</v>
      </c>
      <c r="H73" s="34">
        <v>0.2125558205375826</v>
      </c>
      <c r="I73" s="29">
        <v>212.495</v>
      </c>
      <c r="J73" s="30">
        <f t="shared" si="0"/>
        <v>-4.4647876766238381E-3</v>
      </c>
      <c r="K73" s="32">
        <v>8.1999999999999993</v>
      </c>
      <c r="L73" s="34">
        <v>0.18159978074593483</v>
      </c>
    </row>
    <row r="74" spans="1:12" ht="18.399999999999999" x14ac:dyDescent="0.45">
      <c r="A74" s="1">
        <v>1388</v>
      </c>
      <c r="B74" s="1" t="s">
        <v>288</v>
      </c>
      <c r="C74" s="2" t="s">
        <v>96</v>
      </c>
      <c r="D74" s="5">
        <v>9979</v>
      </c>
      <c r="F74" s="34">
        <v>0.24910853938888408</v>
      </c>
      <c r="G74" s="34">
        <v>0.25190107233165165</v>
      </c>
      <c r="H74" s="34">
        <v>0.18061119161649344</v>
      </c>
      <c r="I74" s="29">
        <v>212.709</v>
      </c>
      <c r="J74" s="30">
        <f t="shared" si="0"/>
        <v>-5.7632442437670628E-3</v>
      </c>
      <c r="K74" s="32">
        <v>8.3000000000000007</v>
      </c>
      <c r="L74" s="34">
        <v>0.15576209868501281</v>
      </c>
    </row>
    <row r="75" spans="1:12" ht="18.399999999999999" x14ac:dyDescent="0.45">
      <c r="A75" s="1">
        <v>1388</v>
      </c>
      <c r="B75" s="1" t="s">
        <v>289</v>
      </c>
      <c r="C75" s="2" t="s">
        <v>97</v>
      </c>
      <c r="D75" s="5">
        <v>9940</v>
      </c>
      <c r="F75" s="34">
        <v>0.21306278168618234</v>
      </c>
      <c r="G75" s="34">
        <v>0.21611512834768903</v>
      </c>
      <c r="H75" s="34">
        <v>0.15373573271419588</v>
      </c>
      <c r="I75" s="29">
        <v>213.02199999999999</v>
      </c>
      <c r="J75" s="30">
        <f t="shared" si="0"/>
        <v>-1.0157614958551719E-2</v>
      </c>
      <c r="K75" s="32">
        <v>8.3000000000000007</v>
      </c>
      <c r="L75" s="34">
        <v>0.1317944438702095</v>
      </c>
    </row>
    <row r="76" spans="1:12" ht="18.399999999999999" x14ac:dyDescent="0.45">
      <c r="A76" s="1">
        <v>1388</v>
      </c>
      <c r="B76" s="1" t="s">
        <v>290</v>
      </c>
      <c r="C76" s="2" t="s">
        <v>98</v>
      </c>
      <c r="D76" s="5">
        <v>9808</v>
      </c>
      <c r="F76" s="34">
        <v>0.18091404283806228</v>
      </c>
      <c r="G76" s="34">
        <v>0.18361559962986035</v>
      </c>
      <c r="H76" s="34">
        <v>0.13446669340001322</v>
      </c>
      <c r="I76" s="29">
        <v>214.79</v>
      </c>
      <c r="J76" s="30">
        <f t="shared" si="0"/>
        <v>-1.2291746182109153E-2</v>
      </c>
      <c r="K76" s="32">
        <v>8.4</v>
      </c>
      <c r="L76" s="34">
        <v>0.11718547388232352</v>
      </c>
    </row>
    <row r="77" spans="1:12" ht="18.399999999999999" x14ac:dyDescent="0.45">
      <c r="A77" s="1">
        <v>1388</v>
      </c>
      <c r="B77" s="1" t="s">
        <v>291</v>
      </c>
      <c r="C77" s="2" t="s">
        <v>99</v>
      </c>
      <c r="D77" s="5">
        <v>9995</v>
      </c>
      <c r="F77" s="34">
        <v>0.1343548267280579</v>
      </c>
      <c r="G77" s="34">
        <v>0.135832510563408</v>
      </c>
      <c r="H77" s="34">
        <v>0.1156100857991207</v>
      </c>
      <c r="I77" s="29">
        <v>214.726</v>
      </c>
      <c r="J77" s="30">
        <f t="shared" si="0"/>
        <v>-1.9587610037622771E-2</v>
      </c>
      <c r="K77" s="32">
        <v>8.4</v>
      </c>
      <c r="L77" s="34">
        <v>0.10830440415417029</v>
      </c>
    </row>
    <row r="78" spans="1:12" ht="18.399999999999999" x14ac:dyDescent="0.45">
      <c r="A78" s="1">
        <v>1388</v>
      </c>
      <c r="B78" s="1" t="s">
        <v>292</v>
      </c>
      <c r="C78" s="2" t="s">
        <v>100</v>
      </c>
      <c r="D78" s="5">
        <v>10009</v>
      </c>
      <c r="F78" s="34">
        <v>0.10161274102144517</v>
      </c>
      <c r="G78" s="34">
        <v>0.10201938476866232</v>
      </c>
      <c r="H78" s="34">
        <v>0.10529555497554184</v>
      </c>
      <c r="I78" s="29">
        <v>215.44499999999999</v>
      </c>
      <c r="J78" s="30">
        <f t="shared" si="0"/>
        <v>-1.4838355663267633E-2</v>
      </c>
      <c r="K78" s="32">
        <v>8.5</v>
      </c>
      <c r="L78" s="34">
        <v>0.1062836451872748</v>
      </c>
    </row>
    <row r="79" spans="1:12" ht="18.399999999999999" x14ac:dyDescent="0.45">
      <c r="A79" s="1">
        <v>1388</v>
      </c>
      <c r="B79" s="1" t="s">
        <v>293</v>
      </c>
      <c r="C79" s="2" t="s">
        <v>101</v>
      </c>
      <c r="D79" s="5">
        <v>9959</v>
      </c>
      <c r="F79" s="34">
        <v>7.1187460367174257E-2</v>
      </c>
      <c r="G79" s="34">
        <v>7.0792152473805312E-2</v>
      </c>
      <c r="H79" s="34">
        <v>7.8633537749981594E-2</v>
      </c>
      <c r="I79" s="29">
        <v>215.86099999999999</v>
      </c>
      <c r="J79" s="30">
        <f t="shared" si="0"/>
        <v>-1.3779428628864721E-2</v>
      </c>
      <c r="K79" s="32">
        <v>8.5</v>
      </c>
      <c r="L79" s="34">
        <v>8.1361962640794025E-2</v>
      </c>
    </row>
    <row r="80" spans="1:12" ht="18.399999999999999" x14ac:dyDescent="0.45">
      <c r="A80" s="1">
        <v>1388</v>
      </c>
      <c r="B80" s="1" t="s">
        <v>294</v>
      </c>
      <c r="C80" s="2" t="s">
        <v>102</v>
      </c>
      <c r="D80" s="5">
        <v>9935</v>
      </c>
      <c r="F80" s="34">
        <v>3.8217598776314927E-2</v>
      </c>
      <c r="G80" s="34">
        <v>3.7072157813996115E-2</v>
      </c>
      <c r="H80" s="34">
        <v>6.0983885701028272E-2</v>
      </c>
      <c r="I80" s="29">
        <v>216.50899999999999</v>
      </c>
      <c r="J80" s="30">
        <f t="shared" si="0"/>
        <v>-2.2396829420033848E-3</v>
      </c>
      <c r="K80" s="32">
        <v>8.6</v>
      </c>
      <c r="L80" s="34">
        <v>6.9763673951487276E-2</v>
      </c>
    </row>
    <row r="81" spans="1:12" ht="18.399999999999999" x14ac:dyDescent="0.45">
      <c r="A81" s="1">
        <v>1388</v>
      </c>
      <c r="B81" s="1" t="s">
        <v>295</v>
      </c>
      <c r="C81" s="2" t="s">
        <v>103</v>
      </c>
      <c r="D81" s="5">
        <v>9950</v>
      </c>
      <c r="F81" s="34">
        <v>2.8490286257022178E-2</v>
      </c>
      <c r="G81" s="34">
        <v>2.7380312541086339E-2</v>
      </c>
      <c r="H81" s="34">
        <v>5.9123612812154815E-2</v>
      </c>
      <c r="I81" s="29">
        <v>217.23400000000001</v>
      </c>
      <c r="J81" s="30">
        <f t="shared" si="0"/>
        <v>1.9145871744709275E-2</v>
      </c>
      <c r="K81" s="32">
        <v>8.6999999999999993</v>
      </c>
      <c r="L81" s="34">
        <v>7.0858493433077568E-2</v>
      </c>
    </row>
    <row r="82" spans="1:12" ht="18.399999999999999" x14ac:dyDescent="0.45">
      <c r="A82" s="1">
        <v>1388</v>
      </c>
      <c r="B82" s="1" t="s">
        <v>296</v>
      </c>
      <c r="C82" s="2" t="s">
        <v>104</v>
      </c>
      <c r="D82" s="5">
        <v>10004</v>
      </c>
      <c r="F82" s="34">
        <v>1.8408998807011301E-2</v>
      </c>
      <c r="G82" s="34">
        <v>1.7005267546922342E-2</v>
      </c>
      <c r="H82" s="34">
        <v>6.0328786366579977E-2</v>
      </c>
      <c r="I82" s="29">
        <v>217.34700000000001</v>
      </c>
      <c r="J82" s="30">
        <f t="shared" si="0"/>
        <v>2.8141231232083674E-2</v>
      </c>
      <c r="K82" s="32">
        <v>8.8000000000000007</v>
      </c>
      <c r="L82" s="34">
        <v>7.6458244111039728E-2</v>
      </c>
    </row>
    <row r="83" spans="1:12" ht="18.399999999999999" x14ac:dyDescent="0.45">
      <c r="A83" s="1">
        <v>1388</v>
      </c>
      <c r="B83" s="1" t="s">
        <v>297</v>
      </c>
      <c r="C83" s="2" t="s">
        <v>105</v>
      </c>
      <c r="D83" s="5">
        <v>10037</v>
      </c>
      <c r="F83" s="34">
        <v>1.2551040282449862E-2</v>
      </c>
      <c r="G83" s="34">
        <v>1.0967653756620167E-2</v>
      </c>
      <c r="H83" s="34">
        <v>6.3976888450638689E-2</v>
      </c>
      <c r="I83" s="29">
        <v>217.488</v>
      </c>
      <c r="J83" s="30">
        <f t="shared" si="0"/>
        <v>2.6211113889767157E-2</v>
      </c>
      <c r="K83" s="32">
        <v>8.8000000000000007</v>
      </c>
      <c r="L83" s="34">
        <v>8.396521234725611E-2</v>
      </c>
    </row>
    <row r="84" spans="1:12" ht="18.399999999999999" x14ac:dyDescent="0.45">
      <c r="A84" s="1">
        <v>1388</v>
      </c>
      <c r="B84" s="1" t="s">
        <v>298</v>
      </c>
      <c r="C84" s="2" t="s">
        <v>106</v>
      </c>
      <c r="D84" s="5">
        <v>10103</v>
      </c>
      <c r="F84" s="34">
        <v>1.3442766697737909E-2</v>
      </c>
      <c r="G84" s="34">
        <v>1.1832235030109217E-2</v>
      </c>
      <c r="H84" s="34">
        <v>6.9590771244972843E-2</v>
      </c>
      <c r="I84" s="29">
        <v>217.28100000000001</v>
      </c>
      <c r="J84" s="30">
        <f t="shared" si="0"/>
        <v>2.151336357866529E-2</v>
      </c>
      <c r="K84" s="32">
        <v>8.8000000000000007</v>
      </c>
      <c r="L84" s="34">
        <v>9.1603834068467907E-2</v>
      </c>
    </row>
    <row r="85" spans="1:12" ht="18.399999999999999" x14ac:dyDescent="0.45">
      <c r="A85" s="1">
        <v>1388</v>
      </c>
      <c r="B85" s="1" t="s">
        <v>299</v>
      </c>
      <c r="C85" s="2" t="s">
        <v>107</v>
      </c>
      <c r="D85" s="5">
        <v>10052</v>
      </c>
      <c r="F85" s="34">
        <v>1.4466453489817753E-2</v>
      </c>
      <c r="G85" s="34">
        <v>1.2819288965723104E-2</v>
      </c>
      <c r="H85" s="34">
        <v>7.8602500226509595E-2</v>
      </c>
      <c r="I85" s="29">
        <v>217.35300000000001</v>
      </c>
      <c r="J85" s="30">
        <f t="shared" si="0"/>
        <v>2.2861714393279886E-2</v>
      </c>
      <c r="K85" s="32">
        <v>8.9</v>
      </c>
      <c r="L85" s="34">
        <v>0.10366386052076251</v>
      </c>
    </row>
    <row r="86" spans="1:12" ht="18.399999999999999" x14ac:dyDescent="0.45">
      <c r="A86" s="1">
        <v>1389</v>
      </c>
      <c r="B86" s="1" t="s">
        <v>288</v>
      </c>
      <c r="C86" s="2" t="s">
        <v>108</v>
      </c>
      <c r="D86" s="5">
        <v>10044</v>
      </c>
      <c r="F86" s="34">
        <v>1.7909504959429084E-2</v>
      </c>
      <c r="G86" s="34">
        <v>1.6249815819750636E-2</v>
      </c>
      <c r="H86" s="34">
        <v>8.5242296134501891E-2</v>
      </c>
      <c r="I86" s="29">
        <v>217.40299999999999</v>
      </c>
      <c r="J86" s="30">
        <f t="shared" si="0"/>
        <v>2.2067707525304403E-2</v>
      </c>
      <c r="K86" s="32">
        <v>9</v>
      </c>
      <c r="L86" s="34">
        <v>0.11118878379722787</v>
      </c>
    </row>
    <row r="87" spans="1:12" ht="18.399999999999999" x14ac:dyDescent="0.45">
      <c r="A87" s="1">
        <v>1389</v>
      </c>
      <c r="B87" s="1" t="s">
        <v>289</v>
      </c>
      <c r="C87" s="2" t="s">
        <v>109</v>
      </c>
      <c r="D87" s="5">
        <v>10255</v>
      </c>
      <c r="F87" s="34">
        <v>2.3755040018963457E-2</v>
      </c>
      <c r="G87" s="34">
        <v>2.1919980618881851E-2</v>
      </c>
      <c r="H87" s="34">
        <v>9.1820267907572625E-2</v>
      </c>
      <c r="I87" s="29">
        <v>217.29</v>
      </c>
      <c r="J87" s="30">
        <f t="shared" si="0"/>
        <v>2.0035489292185682E-2</v>
      </c>
      <c r="K87" s="32">
        <v>9.1</v>
      </c>
      <c r="L87" s="34">
        <v>0.11815179023302051</v>
      </c>
    </row>
    <row r="88" spans="1:12" ht="18.399999999999999" x14ac:dyDescent="0.45">
      <c r="A88" s="1">
        <v>1389</v>
      </c>
      <c r="B88" s="1" t="s">
        <v>290</v>
      </c>
      <c r="C88" s="2" t="s">
        <v>110</v>
      </c>
      <c r="D88" s="5">
        <v>10463</v>
      </c>
      <c r="F88" s="34">
        <v>3.6761770505046483E-2</v>
      </c>
      <c r="G88" s="34">
        <v>3.5084742249885892E-2</v>
      </c>
      <c r="H88" s="34">
        <v>9.1804584568065048E-2</v>
      </c>
      <c r="I88" s="29">
        <v>217.19900000000001</v>
      </c>
      <c r="J88" s="30">
        <f t="shared" si="0"/>
        <v>1.1215605940686268E-2</v>
      </c>
      <c r="K88" s="32">
        <v>9.1</v>
      </c>
      <c r="L88" s="34">
        <v>0.11289936707626197</v>
      </c>
    </row>
    <row r="89" spans="1:12" ht="18.399999999999999" x14ac:dyDescent="0.45">
      <c r="A89" s="1">
        <v>1389</v>
      </c>
      <c r="B89" s="1" t="s">
        <v>291</v>
      </c>
      <c r="C89" s="2" t="s">
        <v>111</v>
      </c>
      <c r="D89" s="5">
        <v>10470</v>
      </c>
      <c r="F89" s="34">
        <v>5.019251198836798E-2</v>
      </c>
      <c r="G89" s="34">
        <v>4.9011950868641352E-2</v>
      </c>
      <c r="H89" s="34">
        <v>9.6634038253546065E-2</v>
      </c>
      <c r="I89" s="29">
        <v>217.60499999999999</v>
      </c>
      <c r="J89" s="30">
        <f t="shared" si="0"/>
        <v>1.3407784804821077E-2</v>
      </c>
      <c r="K89" s="32">
        <v>9.1999999999999993</v>
      </c>
      <c r="L89" s="34">
        <v>0.11406252927566228</v>
      </c>
    </row>
    <row r="90" spans="1:12" ht="18.399999999999999" x14ac:dyDescent="0.45">
      <c r="A90" s="1">
        <v>1389</v>
      </c>
      <c r="B90" s="1" t="s">
        <v>292</v>
      </c>
      <c r="C90" s="2" t="s">
        <v>112</v>
      </c>
      <c r="D90" s="5">
        <v>10547</v>
      </c>
      <c r="F90" s="34">
        <v>5.7975601590016621E-2</v>
      </c>
      <c r="G90" s="34">
        <v>5.7149534646659533E-2</v>
      </c>
      <c r="H90" s="34">
        <v>0.10570109549283586</v>
      </c>
      <c r="I90" s="29">
        <v>217.923</v>
      </c>
      <c r="J90" s="30">
        <f t="shared" si="0"/>
        <v>1.1501775395112546E-2</v>
      </c>
      <c r="K90" s="32">
        <v>9.4</v>
      </c>
      <c r="L90" s="34">
        <v>0.12324334224656554</v>
      </c>
    </row>
    <row r="91" spans="1:12" ht="18.399999999999999" x14ac:dyDescent="0.45">
      <c r="A91" s="1">
        <v>1389</v>
      </c>
      <c r="B91" s="1" t="s">
        <v>293</v>
      </c>
      <c r="C91" s="2" t="s">
        <v>113</v>
      </c>
      <c r="D91" s="5">
        <v>10552</v>
      </c>
      <c r="F91" s="34">
        <v>7.0313134006308078E-2</v>
      </c>
      <c r="G91" s="34">
        <v>6.9888143492895974E-2</v>
      </c>
      <c r="H91" s="34">
        <v>0.11549481707560233</v>
      </c>
      <c r="I91" s="29">
        <v>218.27500000000001</v>
      </c>
      <c r="J91" s="30">
        <f t="shared" si="0"/>
        <v>1.1183122472331775E-2</v>
      </c>
      <c r="K91" s="32">
        <v>9.5</v>
      </c>
      <c r="L91" s="34">
        <v>0.13201901013434764</v>
      </c>
    </row>
    <row r="92" spans="1:12" ht="18.399999999999999" x14ac:dyDescent="0.45">
      <c r="A92" s="1">
        <v>1389</v>
      </c>
      <c r="B92" s="1" t="s">
        <v>294</v>
      </c>
      <c r="C92" s="2" t="s">
        <v>114</v>
      </c>
      <c r="D92" s="5">
        <v>10918</v>
      </c>
      <c r="F92" s="34">
        <v>7.4779897462807277E-2</v>
      </c>
      <c r="G92" s="34">
        <v>7.4306416211278759E-2</v>
      </c>
      <c r="H92" s="34">
        <v>0.13289887863199112</v>
      </c>
      <c r="I92" s="29">
        <v>219.035</v>
      </c>
      <c r="J92" s="30">
        <f t="shared" si="0"/>
        <v>1.1666951489314625E-2</v>
      </c>
      <c r="K92" s="32">
        <v>9.6999999999999993</v>
      </c>
      <c r="L92" s="34">
        <v>0.15400625311610155</v>
      </c>
    </row>
    <row r="93" spans="1:12" ht="18.399999999999999" x14ac:dyDescent="0.45">
      <c r="A93" s="1">
        <v>1389</v>
      </c>
      <c r="B93" s="1" t="s">
        <v>295</v>
      </c>
      <c r="C93" s="2" t="s">
        <v>115</v>
      </c>
      <c r="D93" s="5">
        <v>10670</v>
      </c>
      <c r="F93" s="34">
        <v>7.8921770944298406E-2</v>
      </c>
      <c r="G93" s="34">
        <v>7.8305165414678302E-2</v>
      </c>
      <c r="H93" s="34">
        <v>0.13621302641573038</v>
      </c>
      <c r="I93" s="29">
        <v>219.59</v>
      </c>
      <c r="J93" s="30">
        <f t="shared" si="0"/>
        <v>1.084544776600338E-2</v>
      </c>
      <c r="K93" s="32">
        <v>9.8000000000000007</v>
      </c>
      <c r="L93" s="34">
        <v>0.1568189934431676</v>
      </c>
    </row>
    <row r="94" spans="1:12" ht="18.399999999999999" x14ac:dyDescent="0.45">
      <c r="A94" s="1">
        <v>1389</v>
      </c>
      <c r="B94" s="1" t="s">
        <v>296</v>
      </c>
      <c r="C94" s="2" t="s">
        <v>116</v>
      </c>
      <c r="D94" s="5">
        <v>10606</v>
      </c>
      <c r="F94" s="34">
        <v>7.9584011700205792E-2</v>
      </c>
      <c r="G94" s="34">
        <v>7.9041900655053746E-2</v>
      </c>
      <c r="H94" s="34">
        <v>0.14737344709372693</v>
      </c>
      <c r="I94" s="29">
        <v>220.47200000000001</v>
      </c>
      <c r="J94" s="30">
        <f t="shared" si="0"/>
        <v>1.4377930222179369E-2</v>
      </c>
      <c r="K94" s="32">
        <v>10.1</v>
      </c>
      <c r="L94" s="34">
        <v>0.17142074336074486</v>
      </c>
    </row>
    <row r="95" spans="1:12" ht="18.399999999999999" x14ac:dyDescent="0.45">
      <c r="A95" s="1">
        <v>1389</v>
      </c>
      <c r="B95" s="1" t="s">
        <v>297</v>
      </c>
      <c r="C95" s="2" t="s">
        <v>117</v>
      </c>
      <c r="D95" s="5">
        <v>10797</v>
      </c>
      <c r="F95" s="34">
        <v>8.680709625461859E-2</v>
      </c>
      <c r="G95" s="34">
        <v>8.6134956315071773E-2</v>
      </c>
      <c r="H95" s="34">
        <v>0.18861605185814484</v>
      </c>
      <c r="I95" s="29">
        <v>221.18700000000001</v>
      </c>
      <c r="J95" s="30">
        <f t="shared" si="0"/>
        <v>1.7007834915029774E-2</v>
      </c>
      <c r="K95" s="32">
        <v>10.4</v>
      </c>
      <c r="L95" s="34">
        <v>0.22463258818920123</v>
      </c>
    </row>
    <row r="96" spans="1:12" ht="18.399999999999999" x14ac:dyDescent="0.45">
      <c r="A96" s="1">
        <v>1389</v>
      </c>
      <c r="B96" s="1" t="s">
        <v>298</v>
      </c>
      <c r="C96" s="2" t="s">
        <v>118</v>
      </c>
      <c r="D96" s="5">
        <v>10894</v>
      </c>
      <c r="F96" s="34">
        <v>8.519600908229677E-2</v>
      </c>
      <c r="G96" s="34">
        <v>8.4322373130592473E-2</v>
      </c>
      <c r="H96" s="34">
        <v>0.23061077490932122</v>
      </c>
      <c r="I96" s="29">
        <v>221.898</v>
      </c>
      <c r="J96" s="30">
        <f t="shared" si="0"/>
        <v>2.1248981733331451E-2</v>
      </c>
      <c r="K96" s="32">
        <v>10.8</v>
      </c>
      <c r="L96" s="34">
        <v>0.28227282135064852</v>
      </c>
    </row>
    <row r="97" spans="1:12" ht="18.399999999999999" x14ac:dyDescent="0.45">
      <c r="A97" s="1">
        <v>1389</v>
      </c>
      <c r="B97" s="1" t="s">
        <v>299</v>
      </c>
      <c r="C97" s="2" t="s">
        <v>119</v>
      </c>
      <c r="D97" s="5">
        <v>11068</v>
      </c>
      <c r="F97" s="34">
        <v>8.6254401344786083E-2</v>
      </c>
      <c r="G97" s="34">
        <v>8.5105551018348533E-2</v>
      </c>
      <c r="H97" s="34">
        <v>0.23560131497813003</v>
      </c>
      <c r="I97" s="29">
        <v>223.04599999999999</v>
      </c>
      <c r="J97" s="30">
        <f t="shared" si="0"/>
        <v>2.6192415103541089E-2</v>
      </c>
      <c r="K97" s="32">
        <v>11</v>
      </c>
      <c r="L97" s="34">
        <v>0.28817870172830223</v>
      </c>
    </row>
    <row r="98" spans="1:12" ht="18.399999999999999" x14ac:dyDescent="0.45">
      <c r="A98" s="1">
        <v>1390</v>
      </c>
      <c r="B98" s="1" t="s">
        <v>288</v>
      </c>
      <c r="C98" s="2" t="s">
        <v>120</v>
      </c>
      <c r="D98" s="5">
        <v>11188</v>
      </c>
      <c r="F98" s="34">
        <v>7.5025009044355356E-2</v>
      </c>
      <c r="G98" s="34">
        <v>7.30008638248998E-2</v>
      </c>
      <c r="H98" s="34">
        <v>0.22332705243953385</v>
      </c>
      <c r="I98" s="29">
        <v>224.09299999999999</v>
      </c>
      <c r="J98" s="30">
        <f t="shared" si="0"/>
        <v>3.0772344447868694E-2</v>
      </c>
      <c r="K98" s="32">
        <v>11</v>
      </c>
      <c r="L98" s="34">
        <v>0.25758269597880212</v>
      </c>
    </row>
    <row r="99" spans="1:12" ht="18.399999999999999" x14ac:dyDescent="0.45">
      <c r="A99" s="1">
        <v>1390</v>
      </c>
      <c r="B99" s="1" t="s">
        <v>289</v>
      </c>
      <c r="C99" s="2" t="s">
        <v>121</v>
      </c>
      <c r="D99" s="5">
        <v>11491</v>
      </c>
      <c r="F99" s="34">
        <v>7.6167907032762369E-2</v>
      </c>
      <c r="G99" s="34">
        <v>7.4272929895709439E-2</v>
      </c>
      <c r="H99" s="34">
        <v>0.25308610160911288</v>
      </c>
      <c r="I99" s="29">
        <v>224.80600000000001</v>
      </c>
      <c r="J99" s="30">
        <f t="shared" si="0"/>
        <v>3.4589718808964998E-2</v>
      </c>
      <c r="K99" s="32">
        <v>11.4</v>
      </c>
      <c r="L99" s="34">
        <v>0.30060097777276523</v>
      </c>
    </row>
    <row r="100" spans="1:12" ht="18.399999999999999" x14ac:dyDescent="0.45">
      <c r="A100" s="1">
        <v>1390</v>
      </c>
      <c r="B100" s="1" t="s">
        <v>290</v>
      </c>
      <c r="C100" s="2" t="s">
        <v>122</v>
      </c>
      <c r="D100" s="5">
        <v>11888</v>
      </c>
      <c r="F100" s="34">
        <v>7.7570705158421738E-2</v>
      </c>
      <c r="G100" s="34">
        <v>7.5604487837176604E-2</v>
      </c>
      <c r="H100" s="34">
        <v>0.26880427678162588</v>
      </c>
      <c r="I100" s="29">
        <v>224.80600000000001</v>
      </c>
      <c r="J100" s="30">
        <f t="shared" si="0"/>
        <v>3.5023181506360412E-2</v>
      </c>
      <c r="K100" s="32">
        <v>11.6</v>
      </c>
      <c r="L100" s="34">
        <v>0.32265107112421876</v>
      </c>
    </row>
    <row r="101" spans="1:12" ht="18.399999999999999" x14ac:dyDescent="0.45">
      <c r="A101" s="1">
        <v>1390</v>
      </c>
      <c r="B101" s="1" t="s">
        <v>291</v>
      </c>
      <c r="C101" s="2" t="s">
        <v>123</v>
      </c>
      <c r="D101" s="5">
        <v>11499</v>
      </c>
      <c r="F101" s="34">
        <v>9.4990174774609387E-2</v>
      </c>
      <c r="G101" s="34">
        <v>9.3107976057871439E-2</v>
      </c>
      <c r="H101" s="34">
        <v>0.28185879067318809</v>
      </c>
      <c r="I101" s="29">
        <v>225.39500000000001</v>
      </c>
      <c r="J101" s="30">
        <f t="shared" si="0"/>
        <v>3.5798809769996165E-2</v>
      </c>
      <c r="K101" s="32">
        <v>11.8</v>
      </c>
      <c r="L101" s="34">
        <v>0.33319500872851959</v>
      </c>
    </row>
    <row r="102" spans="1:12" ht="18.399999999999999" x14ac:dyDescent="0.45">
      <c r="A102" s="1">
        <v>1390</v>
      </c>
      <c r="B102" s="1" t="s">
        <v>292</v>
      </c>
      <c r="C102" s="2" t="s">
        <v>124</v>
      </c>
      <c r="D102" s="5">
        <v>11515</v>
      </c>
      <c r="F102" s="34">
        <v>0.10266915084596136</v>
      </c>
      <c r="G102" s="34">
        <v>0.10079878688133874</v>
      </c>
      <c r="H102" s="34">
        <v>0.28964847229376856</v>
      </c>
      <c r="I102" s="29">
        <v>226.10599999999999</v>
      </c>
      <c r="J102" s="30">
        <f t="shared" si="0"/>
        <v>3.7549960307080799E-2</v>
      </c>
      <c r="K102" s="32">
        <v>12.1</v>
      </c>
      <c r="L102" s="34">
        <v>0.34177831374248624</v>
      </c>
    </row>
    <row r="103" spans="1:12" ht="18.399999999999999" x14ac:dyDescent="0.45">
      <c r="A103" s="1">
        <v>1390</v>
      </c>
      <c r="B103" s="1" t="s">
        <v>293</v>
      </c>
      <c r="C103" s="2" t="s">
        <v>125</v>
      </c>
      <c r="D103" s="5">
        <v>12339</v>
      </c>
      <c r="F103" s="34">
        <v>0.10452206954988029</v>
      </c>
      <c r="G103" s="34">
        <v>0.10233221700853364</v>
      </c>
      <c r="H103" s="34">
        <v>0.29585145225811571</v>
      </c>
      <c r="I103" s="29">
        <v>226.59700000000001</v>
      </c>
      <c r="J103" s="30">
        <f t="shared" si="0"/>
        <v>3.8126216928186851E-2</v>
      </c>
      <c r="K103" s="32">
        <v>12.3</v>
      </c>
      <c r="L103" s="34">
        <v>0.34964870821958899</v>
      </c>
    </row>
    <row r="104" spans="1:12" ht="18.399999999999999" x14ac:dyDescent="0.45">
      <c r="A104" s="1">
        <v>1390</v>
      </c>
      <c r="B104" s="1" t="s">
        <v>294</v>
      </c>
      <c r="C104" s="2" t="s">
        <v>126</v>
      </c>
      <c r="D104" s="5">
        <v>12521</v>
      </c>
      <c r="F104" s="34">
        <v>0.11463535984475427</v>
      </c>
      <c r="G104" s="34">
        <v>0.11260323760875394</v>
      </c>
      <c r="H104" s="34">
        <v>0.28904717151169562</v>
      </c>
      <c r="I104" s="29">
        <v>226.75</v>
      </c>
      <c r="J104" s="30">
        <f t="shared" si="0"/>
        <v>3.5222681306640524E-2</v>
      </c>
      <c r="K104" s="32">
        <v>12.5</v>
      </c>
      <c r="L104" s="34">
        <v>0.33601000839447748</v>
      </c>
    </row>
    <row r="105" spans="1:12" ht="18.399999999999999" x14ac:dyDescent="0.45">
      <c r="A105" s="1">
        <v>1390</v>
      </c>
      <c r="B105" s="1" t="s">
        <v>295</v>
      </c>
      <c r="C105" s="2" t="s">
        <v>127</v>
      </c>
      <c r="D105" s="5">
        <v>13169</v>
      </c>
      <c r="F105" s="34">
        <v>0.11207490038225387</v>
      </c>
      <c r="G105" s="34">
        <v>0.10999010289125551</v>
      </c>
      <c r="H105" s="34">
        <v>0.28393677944541623</v>
      </c>
      <c r="I105" s="29">
        <v>227.16900000000001</v>
      </c>
      <c r="J105" s="30">
        <f t="shared" si="0"/>
        <v>3.4514322145817289E-2</v>
      </c>
      <c r="K105" s="32">
        <v>12.6</v>
      </c>
      <c r="L105" s="34">
        <v>0.33060975347797411</v>
      </c>
    </row>
    <row r="106" spans="1:12" ht="18.399999999999999" x14ac:dyDescent="0.45">
      <c r="A106" s="1">
        <v>1390</v>
      </c>
      <c r="B106" s="1" t="s">
        <v>296</v>
      </c>
      <c r="C106" s="2" t="s">
        <v>128</v>
      </c>
      <c r="D106" s="5">
        <v>13715</v>
      </c>
      <c r="F106" s="34">
        <v>0.12637627611773225</v>
      </c>
      <c r="G106" s="34">
        <v>0.12431951973748596</v>
      </c>
      <c r="H106" s="34">
        <v>0.2743364148794849</v>
      </c>
      <c r="I106" s="29">
        <v>227.22300000000001</v>
      </c>
      <c r="J106" s="30">
        <f t="shared" si="0"/>
        <v>3.0620668384193861E-2</v>
      </c>
      <c r="K106" s="32">
        <v>12.8</v>
      </c>
      <c r="L106" s="34">
        <v>0.31161917077033879</v>
      </c>
    </row>
    <row r="107" spans="1:12" ht="18.399999999999999" x14ac:dyDescent="0.45">
      <c r="A107" s="1">
        <v>1390</v>
      </c>
      <c r="B107" s="1" t="s">
        <v>297</v>
      </c>
      <c r="C107" s="2" t="s">
        <v>129</v>
      </c>
      <c r="D107" s="5">
        <v>16117</v>
      </c>
      <c r="F107" s="34">
        <v>0.1269875875740844</v>
      </c>
      <c r="G107" s="34">
        <v>0.12505942927837382</v>
      </c>
      <c r="H107" s="34">
        <v>0.24574470783124497</v>
      </c>
      <c r="I107" s="29">
        <v>227.84200000000001</v>
      </c>
      <c r="J107" s="30">
        <f t="shared" si="0"/>
        <v>3.0087663379855023E-2</v>
      </c>
      <c r="K107" s="32">
        <v>13</v>
      </c>
      <c r="L107" s="34">
        <v>0.2734726403014025</v>
      </c>
    </row>
    <row r="108" spans="1:12" ht="18.399999999999999" x14ac:dyDescent="0.45">
      <c r="A108" s="1">
        <v>1390</v>
      </c>
      <c r="B108" s="1" t="s">
        <v>298</v>
      </c>
      <c r="C108" s="2" t="s">
        <v>130</v>
      </c>
      <c r="D108" s="5">
        <v>18777</v>
      </c>
      <c r="F108" s="34">
        <v>0.13014361405418939</v>
      </c>
      <c r="G108" s="34">
        <v>0.12823582908828968</v>
      </c>
      <c r="H108" s="34">
        <v>0.22804699490927205</v>
      </c>
      <c r="I108" s="29">
        <v>228.32900000000001</v>
      </c>
      <c r="J108" s="30">
        <f t="shared" si="0"/>
        <v>2.8981784423473878E-2</v>
      </c>
      <c r="K108" s="32">
        <v>13.3</v>
      </c>
      <c r="L108" s="34">
        <v>0.25071640060774242</v>
      </c>
    </row>
    <row r="109" spans="1:12" ht="18.399999999999999" x14ac:dyDescent="0.45">
      <c r="A109" s="1">
        <v>1390</v>
      </c>
      <c r="B109" s="1" t="s">
        <v>299</v>
      </c>
      <c r="C109" s="2" t="s">
        <v>131</v>
      </c>
      <c r="D109" s="5">
        <v>18926</v>
      </c>
      <c r="F109" s="34">
        <v>0.13169119810256263</v>
      </c>
      <c r="G109" s="34">
        <v>0.12977793766095075</v>
      </c>
      <c r="H109" s="34">
        <v>0.23744334759204591</v>
      </c>
      <c r="I109" s="29">
        <v>228.80699999999999</v>
      </c>
      <c r="J109" s="30">
        <f t="shared" si="0"/>
        <v>2.5828752813320977E-2</v>
      </c>
      <c r="K109" s="32">
        <v>13.6</v>
      </c>
      <c r="L109" s="34">
        <v>0.26468209693474948</v>
      </c>
    </row>
    <row r="110" spans="1:12" ht="18.399999999999999" x14ac:dyDescent="0.45">
      <c r="A110" s="1">
        <v>1391</v>
      </c>
      <c r="B110" s="1" t="s">
        <v>288</v>
      </c>
      <c r="C110" s="2" t="s">
        <v>132</v>
      </c>
      <c r="D110" s="5">
        <v>18776</v>
      </c>
      <c r="F110" s="34">
        <v>0.15495836673998781</v>
      </c>
      <c r="G110" s="34">
        <v>0.15398221728196518</v>
      </c>
      <c r="H110" s="34">
        <v>0.24799163900659565</v>
      </c>
      <c r="I110" s="29">
        <v>229.18700000000001</v>
      </c>
      <c r="J110" s="30">
        <f t="shared" si="0"/>
        <v>2.2731633741348567E-2</v>
      </c>
      <c r="K110" s="32">
        <v>13.8</v>
      </c>
      <c r="L110" s="34">
        <v>0.28953749693139913</v>
      </c>
    </row>
    <row r="111" spans="1:12" ht="18.399999999999999" x14ac:dyDescent="0.45">
      <c r="A111" s="1">
        <v>1391</v>
      </c>
      <c r="B111" s="1" t="s">
        <v>289</v>
      </c>
      <c r="C111" s="2" t="s">
        <v>133</v>
      </c>
      <c r="D111" s="5">
        <v>16987</v>
      </c>
      <c r="F111" s="34">
        <v>0.16094194927931382</v>
      </c>
      <c r="G111" s="34">
        <v>0.15971749204277416</v>
      </c>
      <c r="H111" s="34">
        <v>0.23038815014757816</v>
      </c>
      <c r="I111" s="29">
        <v>228.71299999999999</v>
      </c>
      <c r="J111" s="30">
        <f t="shared" si="0"/>
        <v>1.7379429374660749E-2</v>
      </c>
      <c r="K111" s="32">
        <v>14</v>
      </c>
      <c r="L111" s="34">
        <v>0.26101466479669355</v>
      </c>
    </row>
    <row r="112" spans="1:12" ht="18.399999999999999" x14ac:dyDescent="0.45">
      <c r="A112" s="1">
        <v>1391</v>
      </c>
      <c r="B112" s="1" t="s">
        <v>290</v>
      </c>
      <c r="C112" s="2" t="s">
        <v>134</v>
      </c>
      <c r="D112" s="5">
        <v>17698</v>
      </c>
      <c r="F112" s="34">
        <v>0.15842786386476135</v>
      </c>
      <c r="G112" s="34">
        <v>0.15714293159617015</v>
      </c>
      <c r="H112" s="34">
        <v>0.21786032935736088</v>
      </c>
      <c r="I112" s="29">
        <v>228.524</v>
      </c>
      <c r="J112" s="30">
        <f t="shared" si="0"/>
        <v>1.6538704482976341E-2</v>
      </c>
      <c r="K112" s="32">
        <v>14.1</v>
      </c>
      <c r="L112" s="34">
        <v>0.24405008418529506</v>
      </c>
    </row>
    <row r="113" spans="1:12" ht="18.399999999999999" x14ac:dyDescent="0.45">
      <c r="A113" s="1">
        <v>1391</v>
      </c>
      <c r="B113" s="1" t="s">
        <v>291</v>
      </c>
      <c r="C113" s="2" t="s">
        <v>135</v>
      </c>
      <c r="D113" s="5">
        <v>19261</v>
      </c>
      <c r="F113" s="34">
        <v>0.16163325697529105</v>
      </c>
      <c r="G113" s="34">
        <v>0.16012594492341775</v>
      </c>
      <c r="H113" s="34">
        <v>0.23937341101927317</v>
      </c>
      <c r="I113" s="29">
        <v>228.59</v>
      </c>
      <c r="J113" s="30">
        <f t="shared" si="0"/>
        <v>1.4175114798464783E-2</v>
      </c>
      <c r="K113" s="32">
        <v>14.6</v>
      </c>
      <c r="L113" s="34">
        <v>0.27369702835524978</v>
      </c>
    </row>
    <row r="114" spans="1:12" ht="18.399999999999999" x14ac:dyDescent="0.45">
      <c r="A114" s="1">
        <v>1391</v>
      </c>
      <c r="B114" s="1" t="s">
        <v>292</v>
      </c>
      <c r="C114" s="2" t="s">
        <v>136</v>
      </c>
      <c r="D114" s="5">
        <v>20464</v>
      </c>
      <c r="F114" s="34">
        <v>0.18112539951759346</v>
      </c>
      <c r="G114" s="34">
        <v>0.1797360934639049</v>
      </c>
      <c r="H114" s="34">
        <v>0.23828986412006742</v>
      </c>
      <c r="I114" s="29">
        <v>229.91800000000001</v>
      </c>
      <c r="J114" s="30">
        <f t="shared" ref="J114:J177" si="1">I114/I102-1</f>
        <v>1.6859349154821235E-2</v>
      </c>
      <c r="K114" s="32">
        <v>15</v>
      </c>
      <c r="L114" s="34">
        <v>0.26347988942172379</v>
      </c>
    </row>
    <row r="115" spans="1:12" ht="18.399999999999999" x14ac:dyDescent="0.45">
      <c r="A115" s="1">
        <v>1391</v>
      </c>
      <c r="B115" s="1" t="s">
        <v>293</v>
      </c>
      <c r="C115" s="2" t="s">
        <v>137</v>
      </c>
      <c r="D115" s="5">
        <v>23214</v>
      </c>
      <c r="F115" s="34">
        <v>0.17183562237860045</v>
      </c>
      <c r="G115" s="34">
        <v>0.17020306921783729</v>
      </c>
      <c r="H115" s="34">
        <v>0.24524761755650501</v>
      </c>
      <c r="I115" s="29">
        <v>231.01499999999999</v>
      </c>
      <c r="J115" s="30">
        <f t="shared" si="1"/>
        <v>1.9497168982819613E-2</v>
      </c>
      <c r="K115" s="32">
        <v>15.3</v>
      </c>
      <c r="L115" s="34">
        <v>0.27758062850293413</v>
      </c>
    </row>
    <row r="116" spans="1:12" ht="18.399999999999999" x14ac:dyDescent="0.45">
      <c r="A116" s="1">
        <v>1391</v>
      </c>
      <c r="B116" s="1" t="s">
        <v>294</v>
      </c>
      <c r="C116" s="2" t="s">
        <v>138</v>
      </c>
      <c r="D116" s="5">
        <v>31424</v>
      </c>
      <c r="F116" s="34">
        <v>0.18425854411905135</v>
      </c>
      <c r="G116" s="34">
        <v>0.18201173520132882</v>
      </c>
      <c r="H116" s="34">
        <v>0.28694754841352277</v>
      </c>
      <c r="I116" s="29">
        <v>231.63800000000001</v>
      </c>
      <c r="J116" s="30">
        <f t="shared" si="1"/>
        <v>2.1556780595369363E-2</v>
      </c>
      <c r="K116" s="32">
        <v>16.100000000000001</v>
      </c>
      <c r="L116" s="34">
        <v>0.33220315732000133</v>
      </c>
    </row>
    <row r="117" spans="1:12" ht="18.399999999999999" x14ac:dyDescent="0.45">
      <c r="A117" s="1">
        <v>1391</v>
      </c>
      <c r="B117" s="1" t="s">
        <v>295</v>
      </c>
      <c r="C117" s="2" t="s">
        <v>139</v>
      </c>
      <c r="D117" s="5">
        <v>27600</v>
      </c>
      <c r="F117" s="34">
        <v>0.19361724186596491</v>
      </c>
      <c r="G117" s="34">
        <v>0.19105758815398019</v>
      </c>
      <c r="H117" s="34">
        <v>0.31776649441126975</v>
      </c>
      <c r="I117" s="29">
        <v>231.249</v>
      </c>
      <c r="J117" s="30">
        <f t="shared" si="1"/>
        <v>1.7960197033926262E-2</v>
      </c>
      <c r="K117" s="32">
        <v>16.7</v>
      </c>
      <c r="L117" s="34">
        <v>0.37213411678359704</v>
      </c>
    </row>
    <row r="118" spans="1:12" ht="18.399999999999999" x14ac:dyDescent="0.45">
      <c r="A118" s="1">
        <v>1391</v>
      </c>
      <c r="B118" s="1" t="s">
        <v>296</v>
      </c>
      <c r="C118" s="2" t="s">
        <v>140</v>
      </c>
      <c r="D118" s="5">
        <v>31200</v>
      </c>
      <c r="F118" s="34">
        <v>0.19017210724162267</v>
      </c>
      <c r="G118" s="34">
        <v>0.18732355148424332</v>
      </c>
      <c r="H118" s="34">
        <v>0.31705440392879042</v>
      </c>
      <c r="I118" s="29">
        <v>231.221</v>
      </c>
      <c r="J118" s="30">
        <f t="shared" si="1"/>
        <v>1.7595049796895523E-2</v>
      </c>
      <c r="K118" s="32">
        <v>16.899999999999999</v>
      </c>
      <c r="L118" s="34">
        <v>0.37283300914791484</v>
      </c>
    </row>
    <row r="119" spans="1:12" ht="18.399999999999999" x14ac:dyDescent="0.45">
      <c r="A119" s="1">
        <v>1391</v>
      </c>
      <c r="B119" s="1" t="s">
        <v>297</v>
      </c>
      <c r="C119" s="2" t="s">
        <v>141</v>
      </c>
      <c r="D119" s="5">
        <v>33600</v>
      </c>
      <c r="F119" s="34">
        <v>0.19392242302659568</v>
      </c>
      <c r="G119" s="34">
        <v>0.19102475981630648</v>
      </c>
      <c r="H119" s="34">
        <v>0.32650585816363814</v>
      </c>
      <c r="I119" s="29">
        <v>231.679</v>
      </c>
      <c r="J119" s="30">
        <f t="shared" si="1"/>
        <v>1.6840617620982989E-2</v>
      </c>
      <c r="K119" s="32">
        <v>17.2</v>
      </c>
      <c r="L119" s="34">
        <v>0.3843815107173188</v>
      </c>
    </row>
    <row r="120" spans="1:12" ht="18.399999999999999" x14ac:dyDescent="0.45">
      <c r="A120" s="1">
        <v>1391</v>
      </c>
      <c r="B120" s="1" t="s">
        <v>298</v>
      </c>
      <c r="C120" s="2" t="s">
        <v>142</v>
      </c>
      <c r="D120" s="5">
        <v>37200</v>
      </c>
      <c r="F120" s="34">
        <v>0.19990805454196617</v>
      </c>
      <c r="G120" s="34">
        <v>0.196942083322798</v>
      </c>
      <c r="H120" s="34">
        <v>0.35938791064677472</v>
      </c>
      <c r="I120" s="29">
        <v>232.93700000000001</v>
      </c>
      <c r="J120" s="30">
        <f t="shared" si="1"/>
        <v>2.0181404902574807E-2</v>
      </c>
      <c r="K120" s="32">
        <v>18</v>
      </c>
      <c r="L120" s="34">
        <v>0.42767551998296793</v>
      </c>
    </row>
    <row r="121" spans="1:12" ht="18.399999999999999" x14ac:dyDescent="0.45">
      <c r="A121" s="1">
        <v>1391</v>
      </c>
      <c r="B121" s="1" t="s">
        <v>299</v>
      </c>
      <c r="C121" s="2" t="s">
        <v>143</v>
      </c>
      <c r="D121" s="5">
        <v>34300</v>
      </c>
      <c r="F121" s="34">
        <v>0.19986741899784463</v>
      </c>
      <c r="G121" s="34">
        <v>0.19702872214142289</v>
      </c>
      <c r="H121" s="34">
        <v>0.36681896480621051</v>
      </c>
      <c r="I121" s="29">
        <v>232.28200000000001</v>
      </c>
      <c r="J121" s="30">
        <f t="shared" si="1"/>
        <v>1.5187472411246183E-2</v>
      </c>
      <c r="K121" s="32">
        <v>18.5</v>
      </c>
      <c r="L121" s="34">
        <v>0.43698295573889029</v>
      </c>
    </row>
    <row r="122" spans="1:12" ht="18.399999999999999" x14ac:dyDescent="0.45">
      <c r="A122" s="1">
        <v>1392</v>
      </c>
      <c r="B122" s="1" t="s">
        <v>288</v>
      </c>
      <c r="C122" s="2" t="s">
        <v>144</v>
      </c>
      <c r="D122" s="5">
        <v>35200</v>
      </c>
      <c r="F122" s="34">
        <v>0.2005819314946686</v>
      </c>
      <c r="G122" s="34">
        <v>0.1975119595086629</v>
      </c>
      <c r="H122" s="34">
        <v>0.38748091484286901</v>
      </c>
      <c r="I122" s="29">
        <v>231.797</v>
      </c>
      <c r="J122" s="30">
        <f t="shared" si="1"/>
        <v>1.1388080475768669E-2</v>
      </c>
      <c r="K122" s="32">
        <v>19.100000000000001</v>
      </c>
      <c r="L122" s="34">
        <v>0.46453096519202119</v>
      </c>
    </row>
    <row r="123" spans="1:12" ht="18.399999999999999" x14ac:dyDescent="0.45">
      <c r="A123" s="1">
        <v>1392</v>
      </c>
      <c r="B123" s="1" t="s">
        <v>289</v>
      </c>
      <c r="C123" s="2" t="s">
        <v>145</v>
      </c>
      <c r="D123" s="5">
        <v>35150</v>
      </c>
      <c r="F123" s="34">
        <v>0.19550301117897662</v>
      </c>
      <c r="G123" s="34">
        <v>0.19233581744841571</v>
      </c>
      <c r="H123" s="34">
        <v>0.38187391604338844</v>
      </c>
      <c r="I123" s="29">
        <v>231.893</v>
      </c>
      <c r="J123" s="30">
        <f t="shared" si="1"/>
        <v>1.3903888279197085E-2</v>
      </c>
      <c r="K123" s="32">
        <v>19.3</v>
      </c>
      <c r="L123" s="34">
        <v>0.45846404304212596</v>
      </c>
    </row>
    <row r="124" spans="1:12" ht="18.399999999999999" x14ac:dyDescent="0.45">
      <c r="A124" s="1">
        <v>1392</v>
      </c>
      <c r="B124" s="1" t="s">
        <v>290</v>
      </c>
      <c r="C124" s="2" t="s">
        <v>146</v>
      </c>
      <c r="D124" s="5">
        <v>33200</v>
      </c>
      <c r="F124" s="34">
        <v>0.23042003452032772</v>
      </c>
      <c r="G124" s="34">
        <v>0.22773947863642463</v>
      </c>
      <c r="H124" s="34">
        <v>0.41196206496661547</v>
      </c>
      <c r="I124" s="29">
        <v>232.44499999999999</v>
      </c>
      <c r="J124" s="30">
        <f t="shared" si="1"/>
        <v>1.7157935271568725E-2</v>
      </c>
      <c r="K124" s="32">
        <v>19.899999999999999</v>
      </c>
      <c r="L124" s="34">
        <v>0.48653613877239821</v>
      </c>
    </row>
    <row r="125" spans="1:12" ht="18.399999999999999" x14ac:dyDescent="0.45">
      <c r="A125" s="1">
        <v>1392</v>
      </c>
      <c r="B125" s="1" t="s">
        <v>291</v>
      </c>
      <c r="C125" s="2" t="s">
        <v>147</v>
      </c>
      <c r="D125" s="5">
        <v>31600</v>
      </c>
      <c r="F125" s="34">
        <v>0.23387761203189997</v>
      </c>
      <c r="G125" s="34">
        <v>0.23129041637142222</v>
      </c>
      <c r="H125" s="34">
        <v>0.39121139331532417</v>
      </c>
      <c r="I125" s="29">
        <v>232.9</v>
      </c>
      <c r="J125" s="30">
        <f t="shared" si="1"/>
        <v>1.8854718054158059E-2</v>
      </c>
      <c r="K125" s="32">
        <v>20.399999999999999</v>
      </c>
      <c r="L125" s="34">
        <v>0.45491980122233855</v>
      </c>
    </row>
    <row r="126" spans="1:12" ht="18.399999999999999" x14ac:dyDescent="0.45">
      <c r="A126" s="1">
        <v>1392</v>
      </c>
      <c r="B126" s="1" t="s">
        <v>292</v>
      </c>
      <c r="C126" s="2" t="s">
        <v>148</v>
      </c>
      <c r="D126" s="5">
        <v>31200</v>
      </c>
      <c r="F126" s="34">
        <v>0.21736343074570996</v>
      </c>
      <c r="G126" s="34">
        <v>0.21458513628447862</v>
      </c>
      <c r="H126" s="34">
        <v>0.38413260525279158</v>
      </c>
      <c r="I126" s="29">
        <v>233.45599999999999</v>
      </c>
      <c r="J126" s="30">
        <f t="shared" si="1"/>
        <v>1.538809488600279E-2</v>
      </c>
      <c r="K126" s="32">
        <v>20.7</v>
      </c>
      <c r="L126" s="34">
        <v>0.45238631167789323</v>
      </c>
    </row>
    <row r="127" spans="1:12" ht="18.399999999999999" x14ac:dyDescent="0.45">
      <c r="A127" s="1">
        <v>1392</v>
      </c>
      <c r="B127" s="1" t="s">
        <v>293</v>
      </c>
      <c r="C127" s="2" t="s">
        <v>149</v>
      </c>
      <c r="D127" s="5">
        <v>29350</v>
      </c>
      <c r="F127" s="34">
        <v>0.22502358250535409</v>
      </c>
      <c r="G127" s="34">
        <v>0.22242293120467907</v>
      </c>
      <c r="H127" s="34">
        <v>0.37037097864474389</v>
      </c>
      <c r="I127" s="29">
        <v>233.54400000000001</v>
      </c>
      <c r="J127" s="30">
        <f t="shared" si="1"/>
        <v>1.0947341081747997E-2</v>
      </c>
      <c r="K127" s="32">
        <v>21</v>
      </c>
      <c r="L127" s="34">
        <v>0.42894963771253031</v>
      </c>
    </row>
    <row r="128" spans="1:12" ht="18.399999999999999" x14ac:dyDescent="0.45">
      <c r="A128" s="1">
        <v>1392</v>
      </c>
      <c r="B128" s="1" t="s">
        <v>294</v>
      </c>
      <c r="C128" s="2" t="s">
        <v>150</v>
      </c>
      <c r="D128" s="5">
        <v>30100</v>
      </c>
      <c r="F128" s="34">
        <v>0.20294078915210931</v>
      </c>
      <c r="G128" s="34">
        <v>0.20056442959205384</v>
      </c>
      <c r="H128" s="34">
        <v>0.32280773775094163</v>
      </c>
      <c r="I128" s="29">
        <v>233.66900000000001</v>
      </c>
      <c r="J128" s="30">
        <f t="shared" si="1"/>
        <v>8.7679914349114707E-3</v>
      </c>
      <c r="K128" s="32">
        <v>21.3</v>
      </c>
      <c r="L128" s="34">
        <v>0.36970209093866174</v>
      </c>
    </row>
    <row r="129" spans="1:12" ht="18.399999999999999" x14ac:dyDescent="0.45">
      <c r="A129" s="1">
        <v>1392</v>
      </c>
      <c r="B129" s="1" t="s">
        <v>295</v>
      </c>
      <c r="C129" s="2" t="s">
        <v>151</v>
      </c>
      <c r="D129" s="5">
        <v>30100</v>
      </c>
      <c r="F129" s="34">
        <v>0.2231224312059929</v>
      </c>
      <c r="G129" s="34">
        <v>0.22164396024200442</v>
      </c>
      <c r="H129" s="34">
        <v>0.29843317905623479</v>
      </c>
      <c r="I129" s="29">
        <v>234.1</v>
      </c>
      <c r="J129" s="30">
        <f t="shared" si="1"/>
        <v>1.2328701961954458E-2</v>
      </c>
      <c r="K129" s="32">
        <v>21.6</v>
      </c>
      <c r="L129" s="34">
        <v>0.3269986013956242</v>
      </c>
    </row>
    <row r="130" spans="1:12" ht="18.399999999999999" x14ac:dyDescent="0.45">
      <c r="A130" s="1">
        <v>1392</v>
      </c>
      <c r="B130" s="1" t="s">
        <v>296</v>
      </c>
      <c r="C130" s="2" t="s">
        <v>152</v>
      </c>
      <c r="D130" s="5">
        <v>29440</v>
      </c>
      <c r="F130" s="34">
        <v>0.23227785891653724</v>
      </c>
      <c r="G130" s="34">
        <v>0.231342786887451</v>
      </c>
      <c r="H130" s="34">
        <v>0.28759254610911683</v>
      </c>
      <c r="I130" s="29">
        <v>234.71899999999999</v>
      </c>
      <c r="J130" s="30">
        <f t="shared" si="1"/>
        <v>1.5128383667573297E-2</v>
      </c>
      <c r="K130" s="32">
        <v>21.7</v>
      </c>
      <c r="L130" s="34">
        <v>0.30851023040536574</v>
      </c>
    </row>
    <row r="131" spans="1:12" ht="18.399999999999999" x14ac:dyDescent="0.45">
      <c r="A131" s="1">
        <v>1392</v>
      </c>
      <c r="B131" s="1" t="s">
        <v>297</v>
      </c>
      <c r="C131" s="2" t="s">
        <v>153</v>
      </c>
      <c r="D131" s="5">
        <v>28850</v>
      </c>
      <c r="F131" s="34">
        <v>0.22603007495467281</v>
      </c>
      <c r="G131" s="34">
        <v>0.22526882910289031</v>
      </c>
      <c r="H131" s="34">
        <v>0.27507474637896095</v>
      </c>
      <c r="I131" s="29">
        <v>235.28800000000001</v>
      </c>
      <c r="J131" s="30">
        <f t="shared" si="1"/>
        <v>1.557758795574915E-2</v>
      </c>
      <c r="K131" s="32">
        <v>22</v>
      </c>
      <c r="L131" s="34">
        <v>0.29331405915040759</v>
      </c>
    </row>
    <row r="132" spans="1:12" ht="18.399999999999999" x14ac:dyDescent="0.45">
      <c r="A132" s="1">
        <v>1392</v>
      </c>
      <c r="B132" s="1" t="s">
        <v>298</v>
      </c>
      <c r="C132" s="2" t="s">
        <v>154</v>
      </c>
      <c r="D132" s="5">
        <v>29530</v>
      </c>
      <c r="F132" s="34">
        <v>0.21933307471100022</v>
      </c>
      <c r="G132" s="34">
        <v>0.21865715517336512</v>
      </c>
      <c r="H132" s="34">
        <v>0.22005556336910984</v>
      </c>
      <c r="I132" s="29">
        <v>235.547</v>
      </c>
      <c r="J132" s="30">
        <f t="shared" si="1"/>
        <v>1.1204746347724948E-2</v>
      </c>
      <c r="K132" s="32">
        <v>22</v>
      </c>
      <c r="L132" s="34">
        <v>0.22054347622075851</v>
      </c>
    </row>
    <row r="133" spans="1:12" ht="18.399999999999999" x14ac:dyDescent="0.45">
      <c r="A133" s="1">
        <v>1392</v>
      </c>
      <c r="B133" s="1" t="s">
        <v>299</v>
      </c>
      <c r="C133" s="2" t="s">
        <v>155</v>
      </c>
      <c r="D133" s="5">
        <v>30250</v>
      </c>
      <c r="F133" s="34">
        <v>0.22183365474921302</v>
      </c>
      <c r="G133" s="34">
        <v>0.22144250689208492</v>
      </c>
      <c r="H133" s="34">
        <v>0.19649472232161913</v>
      </c>
      <c r="I133" s="29">
        <v>236.02799999999999</v>
      </c>
      <c r="J133" s="30">
        <f t="shared" si="1"/>
        <v>1.6126949139408042E-2</v>
      </c>
      <c r="K133" s="32">
        <v>22.2</v>
      </c>
      <c r="L133" s="34">
        <v>0.18805130679742318</v>
      </c>
    </row>
    <row r="134" spans="1:12" ht="18.399999999999999" x14ac:dyDescent="0.45">
      <c r="A134" s="1">
        <v>1393</v>
      </c>
      <c r="B134" s="1" t="s">
        <v>288</v>
      </c>
      <c r="C134" s="2" t="s">
        <v>156</v>
      </c>
      <c r="D134" s="5">
        <v>32150</v>
      </c>
      <c r="F134" s="34">
        <v>0.21707031694619133</v>
      </c>
      <c r="G134" s="34">
        <v>0.21677888031872711</v>
      </c>
      <c r="H134" s="34">
        <v>0.17580938308249755</v>
      </c>
      <c r="I134" s="29">
        <v>236.46799999999999</v>
      </c>
      <c r="J134" s="30">
        <f t="shared" si="1"/>
        <v>2.0151253036061689E-2</v>
      </c>
      <c r="K134" s="32">
        <v>22.5</v>
      </c>
      <c r="L134" s="34">
        <v>0.162222112392608</v>
      </c>
    </row>
    <row r="135" spans="1:12" ht="18.399999999999999" x14ac:dyDescent="0.45">
      <c r="A135" s="1">
        <v>1393</v>
      </c>
      <c r="B135" s="1" t="s">
        <v>289</v>
      </c>
      <c r="C135" s="2" t="s">
        <v>157</v>
      </c>
      <c r="D135" s="5">
        <v>33000</v>
      </c>
      <c r="F135" s="34">
        <v>0.22331694058298696</v>
      </c>
      <c r="G135" s="34">
        <v>0.22321787404278326</v>
      </c>
      <c r="H135" s="34">
        <v>0.1718267249155177</v>
      </c>
      <c r="I135" s="29">
        <v>236.91800000000001</v>
      </c>
      <c r="J135" s="30">
        <f t="shared" si="1"/>
        <v>2.1669476870798121E-2</v>
      </c>
      <c r="K135" s="32">
        <v>22.6</v>
      </c>
      <c r="L135" s="34">
        <v>0.15484947027583856</v>
      </c>
    </row>
    <row r="136" spans="1:12" ht="18.399999999999999" x14ac:dyDescent="0.45">
      <c r="A136" s="1">
        <v>1393</v>
      </c>
      <c r="B136" s="1" t="s">
        <v>290</v>
      </c>
      <c r="C136" s="2" t="s">
        <v>158</v>
      </c>
      <c r="D136" s="5">
        <v>32140</v>
      </c>
      <c r="F136" s="34">
        <v>0.18994589074040391</v>
      </c>
      <c r="G136" s="34">
        <v>0.18934533862932226</v>
      </c>
      <c r="H136" s="34">
        <v>0.14664792523029418</v>
      </c>
      <c r="I136" s="29">
        <v>237.23099999999999</v>
      </c>
      <c r="J136" s="30">
        <f t="shared" si="1"/>
        <v>2.0589816945944195E-2</v>
      </c>
      <c r="K136" s="32">
        <v>22.8</v>
      </c>
      <c r="L136" s="34">
        <v>0.13237288605411138</v>
      </c>
    </row>
    <row r="137" spans="1:12" ht="18.399999999999999" x14ac:dyDescent="0.45">
      <c r="A137" s="1">
        <v>1393</v>
      </c>
      <c r="B137" s="1" t="s">
        <v>291</v>
      </c>
      <c r="C137" s="2" t="s">
        <v>159</v>
      </c>
      <c r="D137" s="5">
        <v>31370</v>
      </c>
      <c r="F137" s="34">
        <v>0.17938415777135533</v>
      </c>
      <c r="G137" s="34">
        <v>0.17880161194616589</v>
      </c>
      <c r="H137" s="34">
        <v>0.14847572997518668</v>
      </c>
      <c r="I137" s="29">
        <v>237.49799999999999</v>
      </c>
      <c r="J137" s="30">
        <f t="shared" si="1"/>
        <v>1.9742378703305974E-2</v>
      </c>
      <c r="K137" s="32">
        <v>23.4</v>
      </c>
      <c r="L137" s="34">
        <v>0.13825160374373952</v>
      </c>
    </row>
    <row r="138" spans="1:12" ht="18.399999999999999" x14ac:dyDescent="0.45">
      <c r="A138" s="1">
        <v>1393</v>
      </c>
      <c r="B138" s="1" t="s">
        <v>292</v>
      </c>
      <c r="C138" s="2" t="s">
        <v>160</v>
      </c>
      <c r="D138" s="5">
        <v>31000</v>
      </c>
      <c r="F138" s="34">
        <v>0.1745304023865468</v>
      </c>
      <c r="G138" s="34">
        <v>0.17412106024382609</v>
      </c>
      <c r="H138" s="34">
        <v>0.14666544035295062</v>
      </c>
      <c r="I138" s="29">
        <v>237.46</v>
      </c>
      <c r="J138" s="30">
        <f t="shared" si="1"/>
        <v>1.7150983482969062E-2</v>
      </c>
      <c r="K138" s="32">
        <v>23.8</v>
      </c>
      <c r="L138" s="34">
        <v>0.13742246068508565</v>
      </c>
    </row>
    <row r="139" spans="1:12" ht="18.399999999999999" x14ac:dyDescent="0.45">
      <c r="A139" s="1">
        <v>1393</v>
      </c>
      <c r="B139" s="1" t="s">
        <v>293</v>
      </c>
      <c r="C139" s="2" t="s">
        <v>161</v>
      </c>
      <c r="D139" s="5">
        <v>31740</v>
      </c>
      <c r="F139" s="34">
        <v>0.16483540817117118</v>
      </c>
      <c r="G139" s="34">
        <v>0.16443623581022451</v>
      </c>
      <c r="H139" s="34">
        <v>0.14198228639389526</v>
      </c>
      <c r="I139" s="29">
        <v>237.477</v>
      </c>
      <c r="J139" s="30">
        <f t="shared" si="1"/>
        <v>1.6840509711232077E-2</v>
      </c>
      <c r="K139" s="32">
        <v>24</v>
      </c>
      <c r="L139" s="34">
        <v>0.13437679124763036</v>
      </c>
    </row>
    <row r="140" spans="1:12" ht="18.399999999999999" x14ac:dyDescent="0.45">
      <c r="A140" s="1">
        <v>1393</v>
      </c>
      <c r="B140" s="1" t="s">
        <v>294</v>
      </c>
      <c r="C140" s="2" t="s">
        <v>162</v>
      </c>
      <c r="D140" s="5">
        <v>32300</v>
      </c>
      <c r="F140" s="34">
        <v>0.18103330486285985</v>
      </c>
      <c r="G140" s="34">
        <v>0.18122604797159297</v>
      </c>
      <c r="H140" s="34">
        <v>0.14156012550886871</v>
      </c>
      <c r="I140" s="29">
        <v>237.43</v>
      </c>
      <c r="J140" s="30">
        <f t="shared" si="1"/>
        <v>1.6095417021513292E-2</v>
      </c>
      <c r="K140" s="32">
        <v>24.3</v>
      </c>
      <c r="L140" s="34">
        <v>0.12822268892461494</v>
      </c>
    </row>
    <row r="141" spans="1:12" ht="18.399999999999999" x14ac:dyDescent="0.45">
      <c r="A141" s="1">
        <v>1393</v>
      </c>
      <c r="B141" s="1" t="s">
        <v>295</v>
      </c>
      <c r="C141" s="2" t="s">
        <v>163</v>
      </c>
      <c r="D141" s="5">
        <v>32540</v>
      </c>
      <c r="F141" s="34">
        <v>0.15254206444995574</v>
      </c>
      <c r="G141" s="34">
        <v>0.15220794259703468</v>
      </c>
      <c r="H141" s="34">
        <v>0.132410627420674</v>
      </c>
      <c r="I141" s="29">
        <v>236.983</v>
      </c>
      <c r="J141" s="30">
        <f t="shared" si="1"/>
        <v>1.231524989320798E-2</v>
      </c>
      <c r="K141" s="32">
        <v>24.5</v>
      </c>
      <c r="L141" s="34">
        <v>0.12563076495108902</v>
      </c>
    </row>
    <row r="142" spans="1:12" ht="18.399999999999999" x14ac:dyDescent="0.45">
      <c r="A142" s="1">
        <v>1393</v>
      </c>
      <c r="B142" s="1" t="s">
        <v>296</v>
      </c>
      <c r="C142" s="3" t="s">
        <v>164</v>
      </c>
      <c r="D142" s="7">
        <v>35100</v>
      </c>
      <c r="F142" s="34">
        <v>0.13412386517653771</v>
      </c>
      <c r="G142" s="34">
        <v>0.13355191225205273</v>
      </c>
      <c r="H142" s="34">
        <v>0.14881433044921194</v>
      </c>
      <c r="I142" s="29">
        <v>236.25200000000001</v>
      </c>
      <c r="J142" s="30">
        <f t="shared" si="1"/>
        <v>6.5312139196231911E-3</v>
      </c>
      <c r="K142" s="32">
        <v>25</v>
      </c>
      <c r="L142" s="34">
        <v>0.1541552757936151</v>
      </c>
    </row>
    <row r="143" spans="1:12" ht="18.399999999999999" x14ac:dyDescent="0.45">
      <c r="A143" s="1">
        <v>1393</v>
      </c>
      <c r="B143" s="1" t="s">
        <v>297</v>
      </c>
      <c r="C143" s="2" t="s">
        <v>165</v>
      </c>
      <c r="D143" s="5">
        <v>34850</v>
      </c>
      <c r="F143" s="34">
        <v>0.1475444006952418</v>
      </c>
      <c r="G143" s="34">
        <v>0.14710174383693825</v>
      </c>
      <c r="H143" s="34">
        <v>0.14435028684072448</v>
      </c>
      <c r="I143" s="29">
        <v>234.74700000000001</v>
      </c>
      <c r="J143" s="30">
        <f t="shared" si="1"/>
        <v>-2.2993097820542818E-3</v>
      </c>
      <c r="K143" s="32">
        <v>25.2</v>
      </c>
      <c r="L143" s="34">
        <v>0.14339569516302575</v>
      </c>
    </row>
    <row r="144" spans="1:12" ht="18.399999999999999" x14ac:dyDescent="0.45">
      <c r="A144" s="1">
        <v>1393</v>
      </c>
      <c r="B144" s="1" t="s">
        <v>298</v>
      </c>
      <c r="C144" s="2" t="s">
        <v>166</v>
      </c>
      <c r="D144" s="5">
        <v>34230</v>
      </c>
      <c r="F144" s="34">
        <v>0.1454918994865298</v>
      </c>
      <c r="G144" s="34">
        <v>0.14511318580790672</v>
      </c>
      <c r="H144" s="34">
        <v>0.14389975788792569</v>
      </c>
      <c r="I144" s="29">
        <v>235.34200000000001</v>
      </c>
      <c r="J144" s="30">
        <f t="shared" si="1"/>
        <v>-8.7031462935205361E-4</v>
      </c>
      <c r="K144" s="32">
        <v>25.2</v>
      </c>
      <c r="L144" s="34">
        <v>0.14347704005505973</v>
      </c>
    </row>
    <row r="145" spans="1:14" ht="18.399999999999999" x14ac:dyDescent="0.45">
      <c r="A145" s="1">
        <v>1393</v>
      </c>
      <c r="B145" s="1" t="s">
        <v>299</v>
      </c>
      <c r="C145" s="2" t="s">
        <v>167</v>
      </c>
      <c r="D145" s="5">
        <v>33450</v>
      </c>
      <c r="F145" s="34">
        <v>0.14553827417759052</v>
      </c>
      <c r="G145" s="34">
        <v>0.14507522922730545</v>
      </c>
      <c r="H145" s="34">
        <v>0.142154017741245</v>
      </c>
      <c r="I145" s="29">
        <v>235.976</v>
      </c>
      <c r="J145" s="30">
        <f t="shared" si="1"/>
        <v>-2.2031284423873476E-4</v>
      </c>
      <c r="K145" s="32">
        <v>25.3</v>
      </c>
      <c r="L145" s="34">
        <v>0.1411375654238462</v>
      </c>
    </row>
    <row r="146" spans="1:14" ht="18.399999999999999" x14ac:dyDescent="0.45">
      <c r="A146" s="1">
        <v>1394</v>
      </c>
      <c r="B146" s="1" t="s">
        <v>288</v>
      </c>
      <c r="C146" s="2" t="s">
        <v>168</v>
      </c>
      <c r="D146" s="5">
        <v>33430</v>
      </c>
      <c r="F146" s="34">
        <v>0.13862094844798079</v>
      </c>
      <c r="G146" s="34">
        <v>0.1382165309069292</v>
      </c>
      <c r="H146" s="34">
        <v>0.13996205860759445</v>
      </c>
      <c r="I146" s="29">
        <v>236.22200000000001</v>
      </c>
      <c r="J146" s="30">
        <f t="shared" si="1"/>
        <v>-1.0403098939391064E-3</v>
      </c>
      <c r="K146" s="32">
        <v>25.6</v>
      </c>
      <c r="L146" s="34">
        <v>0.14056812592833665</v>
      </c>
    </row>
    <row r="147" spans="1:14" ht="18.399999999999999" x14ac:dyDescent="0.45">
      <c r="A147" s="1">
        <v>1394</v>
      </c>
      <c r="B147" s="1" t="s">
        <v>289</v>
      </c>
      <c r="C147" s="2" t="s">
        <v>169</v>
      </c>
      <c r="D147" s="5">
        <v>33100</v>
      </c>
      <c r="F147" s="34">
        <v>0.13553793529413966</v>
      </c>
      <c r="G147" s="34">
        <v>0.13544462303217059</v>
      </c>
      <c r="H147" s="34">
        <v>0.13719002966870847</v>
      </c>
      <c r="I147" s="29">
        <v>237.001</v>
      </c>
      <c r="J147" s="30">
        <f t="shared" si="1"/>
        <v>3.5033218244295838E-4</v>
      </c>
      <c r="K147" s="32">
        <v>25.7</v>
      </c>
      <c r="L147" s="34">
        <v>0.1378007666185681</v>
      </c>
    </row>
    <row r="148" spans="1:14" ht="18.399999999999999" x14ac:dyDescent="0.45">
      <c r="A148" s="1">
        <v>1394</v>
      </c>
      <c r="B148" s="1" t="s">
        <v>290</v>
      </c>
      <c r="C148" s="2" t="s">
        <v>170</v>
      </c>
      <c r="D148" s="5">
        <v>32770</v>
      </c>
      <c r="F148" s="34">
        <v>0.13013837735673589</v>
      </c>
      <c r="G148" s="34">
        <v>0.13012734355036443</v>
      </c>
      <c r="H148" s="34">
        <v>0.14204730522130532</v>
      </c>
      <c r="I148" s="29">
        <v>237.65700000000001</v>
      </c>
      <c r="J148" s="30">
        <f t="shared" si="1"/>
        <v>1.7957180975505249E-3</v>
      </c>
      <c r="K148" s="32">
        <v>26.1</v>
      </c>
      <c r="L148" s="34">
        <v>0.14623301501475083</v>
      </c>
    </row>
    <row r="149" spans="1:14" ht="18.399999999999999" x14ac:dyDescent="0.45">
      <c r="A149" s="1">
        <v>1394</v>
      </c>
      <c r="B149" s="1" t="s">
        <v>291</v>
      </c>
      <c r="C149" s="2" t="s">
        <v>171</v>
      </c>
      <c r="D149" s="5">
        <v>32570</v>
      </c>
      <c r="F149" s="34">
        <v>0.1256018253465325</v>
      </c>
      <c r="G149" s="34">
        <v>0.12563165202015597</v>
      </c>
      <c r="H149" s="34">
        <v>0.12770491085515956</v>
      </c>
      <c r="I149" s="29">
        <v>238.03399999999999</v>
      </c>
      <c r="J149" s="30">
        <f t="shared" si="1"/>
        <v>2.2568611104094582E-3</v>
      </c>
      <c r="K149" s="32">
        <v>26.4</v>
      </c>
      <c r="L149" s="34">
        <v>0.1284287944549321</v>
      </c>
    </row>
    <row r="150" spans="1:14" ht="18.399999999999999" x14ac:dyDescent="0.45">
      <c r="A150" s="1">
        <v>1394</v>
      </c>
      <c r="B150" s="1" t="s">
        <v>292</v>
      </c>
      <c r="C150" s="2" t="s">
        <v>172</v>
      </c>
      <c r="D150" s="5">
        <v>33670</v>
      </c>
      <c r="F150" s="34">
        <v>0.11840801130203786</v>
      </c>
      <c r="G150" s="34">
        <v>0.11835110176732826</v>
      </c>
      <c r="H150" s="34">
        <v>0.11488709859490427</v>
      </c>
      <c r="I150" s="29">
        <v>238.03299999999999</v>
      </c>
      <c r="J150" s="30">
        <f t="shared" si="1"/>
        <v>2.413037985344868E-3</v>
      </c>
      <c r="K150" s="32">
        <v>26.5</v>
      </c>
      <c r="L150" s="34">
        <v>0.11368331033576311</v>
      </c>
    </row>
    <row r="151" spans="1:14" ht="18.399999999999999" x14ac:dyDescent="0.45">
      <c r="A151" s="1">
        <v>1394</v>
      </c>
      <c r="B151" s="1" t="s">
        <v>293</v>
      </c>
      <c r="C151" s="2" t="s">
        <v>173</v>
      </c>
      <c r="D151" s="5">
        <v>34150</v>
      </c>
      <c r="F151" s="34">
        <v>0.11493857010075131</v>
      </c>
      <c r="G151" s="34">
        <v>0.11483532438711279</v>
      </c>
      <c r="H151" s="34">
        <v>0.11583289881812846</v>
      </c>
      <c r="I151" s="29">
        <v>237.49799999999999</v>
      </c>
      <c r="J151" s="30">
        <f t="shared" si="1"/>
        <v>8.8429616341700878E-5</v>
      </c>
      <c r="K151" s="32">
        <v>26.7</v>
      </c>
      <c r="L151" s="34">
        <v>0.11617974621698067</v>
      </c>
    </row>
    <row r="152" spans="1:14" ht="18.399999999999999" x14ac:dyDescent="0.45">
      <c r="A152" s="1">
        <v>1394</v>
      </c>
      <c r="B152" s="1" t="s">
        <v>294</v>
      </c>
      <c r="C152" s="2" t="s">
        <v>174</v>
      </c>
      <c r="D152" s="5">
        <v>34670</v>
      </c>
      <c r="F152" s="34">
        <v>0.10694652459388877</v>
      </c>
      <c r="G152" s="34">
        <v>0.10673383681633992</v>
      </c>
      <c r="H152" s="34">
        <v>0.10885945521585327</v>
      </c>
      <c r="I152" s="29">
        <v>237.733</v>
      </c>
      <c r="J152" s="30">
        <f t="shared" si="1"/>
        <v>1.2761656067050708E-3</v>
      </c>
      <c r="K152" s="32">
        <v>26.9</v>
      </c>
      <c r="L152" s="34">
        <v>0.10960775961025178</v>
      </c>
    </row>
    <row r="153" spans="1:14" ht="18.399999999999999" x14ac:dyDescent="0.45">
      <c r="A153" s="1">
        <v>1394</v>
      </c>
      <c r="B153" s="1" t="s">
        <v>295</v>
      </c>
      <c r="C153" s="2" t="s">
        <v>175</v>
      </c>
      <c r="D153" s="5">
        <v>35800</v>
      </c>
      <c r="F153" s="34">
        <v>0.10770586657482938</v>
      </c>
      <c r="G153" s="34">
        <v>0.10752840946268449</v>
      </c>
      <c r="H153" s="34">
        <v>0.1083048603077026</v>
      </c>
      <c r="I153" s="29">
        <v>238.017</v>
      </c>
      <c r="J153" s="30">
        <f t="shared" si="1"/>
        <v>4.3631821691851869E-3</v>
      </c>
      <c r="K153" s="32">
        <v>27.1</v>
      </c>
      <c r="L153" s="34">
        <v>0.10857704485425841</v>
      </c>
      <c r="M153" s="22">
        <v>0.26860000000000001</v>
      </c>
      <c r="N153" s="30">
        <f>(H165-M153)*(-1)</f>
        <v>0.21030092419050833</v>
      </c>
    </row>
    <row r="154" spans="1:14" ht="18.399999999999999" x14ac:dyDescent="0.45">
      <c r="A154" s="1">
        <v>1394</v>
      </c>
      <c r="B154" s="1" t="s">
        <v>296</v>
      </c>
      <c r="C154" s="2" t="s">
        <v>176</v>
      </c>
      <c r="D154" s="5">
        <v>36420</v>
      </c>
      <c r="F154" s="34">
        <v>0.10560921695455178</v>
      </c>
      <c r="G154" s="34">
        <v>0.1054694366008026</v>
      </c>
      <c r="H154" s="34">
        <v>9.9856976495622543E-2</v>
      </c>
      <c r="I154" s="29">
        <v>237.761</v>
      </c>
      <c r="J154" s="30">
        <f t="shared" si="1"/>
        <v>6.3872475153647912E-3</v>
      </c>
      <c r="K154" s="32">
        <v>27.5</v>
      </c>
      <c r="L154" s="34">
        <v>9.7928007602485531E-2</v>
      </c>
      <c r="M154" s="22">
        <v>0.25309999999999999</v>
      </c>
      <c r="N154" s="30">
        <f t="shared" ref="N154:N217" si="2">(H166-M154)*(-1)</f>
        <v>0.20007077618763514</v>
      </c>
    </row>
    <row r="155" spans="1:14" ht="18.399999999999999" x14ac:dyDescent="0.45">
      <c r="A155" s="1">
        <v>1394</v>
      </c>
      <c r="B155" s="1" t="s">
        <v>297</v>
      </c>
      <c r="C155" s="2" t="s">
        <v>177</v>
      </c>
      <c r="D155" s="5">
        <v>36120</v>
      </c>
      <c r="F155" s="34">
        <v>9.1870015848009676E-2</v>
      </c>
      <c r="G155" s="34">
        <v>9.1652292103161559E-2</v>
      </c>
      <c r="H155" s="34">
        <v>9.4331879718221504E-2</v>
      </c>
      <c r="I155" s="29">
        <v>237.65199999999999</v>
      </c>
      <c r="J155" s="30">
        <f t="shared" si="1"/>
        <v>1.2375025026943876E-2</v>
      </c>
      <c r="K155" s="32">
        <v>27.5</v>
      </c>
      <c r="L155" s="34">
        <v>9.5264550267605733E-2</v>
      </c>
      <c r="M155" s="22">
        <v>0.26</v>
      </c>
      <c r="N155" s="30">
        <f t="shared" si="2"/>
        <v>0.20113850755437016</v>
      </c>
    </row>
    <row r="156" spans="1:14" ht="18.399999999999999" x14ac:dyDescent="0.45">
      <c r="A156" s="1">
        <v>1394</v>
      </c>
      <c r="B156" s="1" t="s">
        <v>298</v>
      </c>
      <c r="C156" s="2" t="s">
        <v>178</v>
      </c>
      <c r="D156" s="5">
        <v>35030</v>
      </c>
      <c r="F156" s="34">
        <v>9.403337958484044E-2</v>
      </c>
      <c r="G156" s="34">
        <v>9.3982691669527718E-2</v>
      </c>
      <c r="H156" s="34">
        <v>8.9474902416427249E-2</v>
      </c>
      <c r="I156" s="29">
        <v>237.33600000000001</v>
      </c>
      <c r="J156" s="30">
        <f t="shared" si="1"/>
        <v>8.4727757901266187E-3</v>
      </c>
      <c r="K156" s="32">
        <v>27.4</v>
      </c>
      <c r="L156" s="34">
        <v>8.790229196892653E-2</v>
      </c>
      <c r="M156" s="22">
        <v>0.26832</v>
      </c>
      <c r="N156" s="30">
        <f t="shared" si="2"/>
        <v>0.20004474028631142</v>
      </c>
    </row>
    <row r="157" spans="1:14" ht="18.399999999999999" x14ac:dyDescent="0.45">
      <c r="A157" s="1">
        <v>1394</v>
      </c>
      <c r="B157" s="1" t="s">
        <v>299</v>
      </c>
      <c r="C157" s="2" t="s">
        <v>179</v>
      </c>
      <c r="D157" s="5">
        <v>34600</v>
      </c>
      <c r="F157" s="34">
        <v>9.0492132160278238E-2</v>
      </c>
      <c r="G157" s="34">
        <v>9.0488942770975453E-2</v>
      </c>
      <c r="H157" s="34">
        <v>8.5169338434619421E-2</v>
      </c>
      <c r="I157" s="29">
        <v>238.08</v>
      </c>
      <c r="J157" s="30">
        <f t="shared" si="1"/>
        <v>8.9161609655219465E-3</v>
      </c>
      <c r="K157" s="32">
        <v>27.5</v>
      </c>
      <c r="L157" s="34">
        <v>8.3311964443665121E-2</v>
      </c>
      <c r="M157" s="22">
        <v>0.23044999999999999</v>
      </c>
      <c r="N157" s="30">
        <f t="shared" si="2"/>
        <v>0.15163716919096612</v>
      </c>
    </row>
    <row r="158" spans="1:14" ht="18.399999999999999" x14ac:dyDescent="0.45">
      <c r="A158" s="1">
        <v>1395</v>
      </c>
      <c r="B158" s="1" t="s">
        <v>288</v>
      </c>
      <c r="C158" s="2" t="s">
        <v>180</v>
      </c>
      <c r="D158" s="5">
        <v>34770</v>
      </c>
      <c r="F158" s="34">
        <v>8.3921468385866407E-2</v>
      </c>
      <c r="G158" s="34">
        <v>8.3475882668444967E-2</v>
      </c>
      <c r="H158" s="34">
        <v>7.9391085862217783E-2</v>
      </c>
      <c r="I158" s="29">
        <v>238.99199999999999</v>
      </c>
      <c r="J158" s="30">
        <f t="shared" si="1"/>
        <v>1.1726257503534843E-2</v>
      </c>
      <c r="K158" s="32">
        <v>27.7</v>
      </c>
      <c r="L158" s="34">
        <v>7.4710545932465774E-2</v>
      </c>
      <c r="M158" s="22">
        <v>0.2346</v>
      </c>
      <c r="N158" s="30">
        <f t="shared" si="2"/>
        <v>0.14912512046241649</v>
      </c>
    </row>
    <row r="159" spans="1:14" ht="18.399999999999999" x14ac:dyDescent="0.45">
      <c r="A159" s="1">
        <v>1395</v>
      </c>
      <c r="B159" s="1" t="s">
        <v>289</v>
      </c>
      <c r="C159" s="2" t="s">
        <v>181</v>
      </c>
      <c r="D159" s="5">
        <v>34450</v>
      </c>
      <c r="F159" s="34">
        <v>7.3522726848102307E-2</v>
      </c>
      <c r="G159" s="34">
        <v>7.3027600246525992E-2</v>
      </c>
      <c r="H159" s="34">
        <v>7.5799034142278718E-2</v>
      </c>
      <c r="I159" s="29">
        <v>239.55699999999999</v>
      </c>
      <c r="J159" s="30">
        <f t="shared" si="1"/>
        <v>1.0784764621246223E-2</v>
      </c>
      <c r="K159" s="32">
        <v>27.7</v>
      </c>
      <c r="L159" s="34">
        <v>7.3620884354985774E-2</v>
      </c>
      <c r="M159" s="22">
        <v>0.23557500000000001</v>
      </c>
      <c r="N159" s="30">
        <f t="shared" si="2"/>
        <v>0.15224831564744529</v>
      </c>
    </row>
    <row r="160" spans="1:14" ht="18.399999999999999" x14ac:dyDescent="0.45">
      <c r="A160" s="1">
        <v>1395</v>
      </c>
      <c r="B160" s="1" t="s">
        <v>290</v>
      </c>
      <c r="C160" s="2" t="s">
        <v>182</v>
      </c>
      <c r="D160" s="5">
        <v>34630</v>
      </c>
      <c r="F160" s="34">
        <v>6.8924771826920764E-2</v>
      </c>
      <c r="G160" s="34">
        <v>6.8477666864043274E-2</v>
      </c>
      <c r="H160" s="34">
        <v>6.9591605026610492E-2</v>
      </c>
      <c r="I160" s="29">
        <v>240.22200000000001</v>
      </c>
      <c r="J160" s="30">
        <f t="shared" si="1"/>
        <v>1.0792865347959424E-2</v>
      </c>
      <c r="K160" s="32">
        <v>27.9</v>
      </c>
      <c r="L160" s="34">
        <v>6.7740039440806324E-2</v>
      </c>
      <c r="M160" s="22">
        <v>0.22572500000000001</v>
      </c>
      <c r="N160" s="30">
        <f t="shared" si="2"/>
        <v>0.14642431888298996</v>
      </c>
    </row>
    <row r="161" spans="1:14" ht="18.399999999999999" x14ac:dyDescent="0.45">
      <c r="A161" s="1">
        <v>1395</v>
      </c>
      <c r="B161" s="1" t="s">
        <v>291</v>
      </c>
      <c r="C161" s="2" t="s">
        <v>183</v>
      </c>
      <c r="D161" s="5">
        <v>35150</v>
      </c>
      <c r="F161" s="34">
        <v>5.7179615620848806E-2</v>
      </c>
      <c r="G161" s="34">
        <v>5.6630439957090745E-2</v>
      </c>
      <c r="H161" s="34">
        <v>6.7131944272269373E-2</v>
      </c>
      <c r="I161" s="29">
        <v>240.101</v>
      </c>
      <c r="J161" s="30">
        <f t="shared" si="1"/>
        <v>8.6836334305182561E-3</v>
      </c>
      <c r="K161" s="32">
        <v>28.1</v>
      </c>
      <c r="L161" s="34">
        <v>6.9364111212346133E-2</v>
      </c>
      <c r="M161" s="22">
        <v>0.21154000000000001</v>
      </c>
      <c r="N161" s="30">
        <f t="shared" si="2"/>
        <v>0.13099505876838341</v>
      </c>
    </row>
    <row r="162" spans="1:14" ht="18.399999999999999" x14ac:dyDescent="0.45">
      <c r="A162" s="1">
        <v>1395</v>
      </c>
      <c r="B162" s="1" t="s">
        <v>292</v>
      </c>
      <c r="C162" s="2" t="s">
        <v>184</v>
      </c>
      <c r="D162" s="5">
        <v>35400</v>
      </c>
      <c r="F162" s="34">
        <v>5.2986876137046723E-2</v>
      </c>
      <c r="G162" s="34">
        <v>5.2412412205320183E-2</v>
      </c>
      <c r="H162" s="34">
        <v>7.2020215451801442E-2</v>
      </c>
      <c r="I162" s="29">
        <v>240.54499999999999</v>
      </c>
      <c r="J162" s="30">
        <f t="shared" si="1"/>
        <v>1.0553158595656864E-2</v>
      </c>
      <c r="K162" s="32">
        <v>28.4</v>
      </c>
      <c r="L162" s="34">
        <v>7.8732782204268978E-2</v>
      </c>
      <c r="M162" s="22">
        <v>0.21362500000000001</v>
      </c>
      <c r="N162" s="30">
        <f t="shared" si="2"/>
        <v>0.13923709338487233</v>
      </c>
    </row>
    <row r="163" spans="1:14" ht="18.399999999999999" x14ac:dyDescent="0.45">
      <c r="A163" s="1">
        <v>1395</v>
      </c>
      <c r="B163" s="1" t="s">
        <v>293</v>
      </c>
      <c r="C163" s="2" t="s">
        <v>185</v>
      </c>
      <c r="D163" s="5">
        <v>35700</v>
      </c>
      <c r="F163" s="34">
        <v>5.1041135332013994E-2</v>
      </c>
      <c r="G163" s="34">
        <v>5.0415714635701644E-2</v>
      </c>
      <c r="H163" s="34">
        <v>6.6474869229907085E-2</v>
      </c>
      <c r="I163" s="29">
        <v>241.17599999999999</v>
      </c>
      <c r="J163" s="30">
        <f t="shared" si="1"/>
        <v>1.5486446201652182E-2</v>
      </c>
      <c r="K163" s="32">
        <v>28.5</v>
      </c>
      <c r="L163" s="34">
        <v>7.1982655701726656E-2</v>
      </c>
      <c r="M163" s="22">
        <v>0.221333</v>
      </c>
      <c r="N163" s="30">
        <f t="shared" si="2"/>
        <v>0.14986498201919199</v>
      </c>
    </row>
    <row r="164" spans="1:14" ht="18.399999999999999" x14ac:dyDescent="0.45">
      <c r="A164" s="1">
        <v>1395</v>
      </c>
      <c r="B164" s="1" t="s">
        <v>294</v>
      </c>
      <c r="C164" s="2" t="s">
        <v>186</v>
      </c>
      <c r="D164" s="5">
        <v>35950</v>
      </c>
      <c r="F164" s="34">
        <v>3.9349911823174752E-2</v>
      </c>
      <c r="G164" s="34">
        <v>3.859984921966756E-2</v>
      </c>
      <c r="H164" s="34">
        <v>6.3839191037722287E-2</v>
      </c>
      <c r="I164" s="29">
        <v>241.74100000000001</v>
      </c>
      <c r="J164" s="30">
        <f t="shared" si="1"/>
        <v>1.685924966243646E-2</v>
      </c>
      <c r="K164" s="32">
        <v>28.7</v>
      </c>
      <c r="L164" s="34">
        <v>7.2750314906050453E-2</v>
      </c>
      <c r="M164" s="22">
        <v>0.22125</v>
      </c>
      <c r="N164" s="30">
        <f t="shared" si="2"/>
        <v>0.14047739326085321</v>
      </c>
    </row>
    <row r="165" spans="1:14" ht="18.399999999999999" x14ac:dyDescent="0.45">
      <c r="A165" s="1">
        <v>1395</v>
      </c>
      <c r="B165" s="1" t="s">
        <v>295</v>
      </c>
      <c r="C165" s="2" t="s">
        <v>187</v>
      </c>
      <c r="D165" s="5">
        <v>36850</v>
      </c>
      <c r="F165" s="34">
        <v>3.4778988982100002E-2</v>
      </c>
      <c r="G165" s="34">
        <v>3.410470697069215E-2</v>
      </c>
      <c r="H165" s="34">
        <v>5.8299075809491681E-2</v>
      </c>
      <c r="I165" s="29">
        <v>242.02600000000001</v>
      </c>
      <c r="J165" s="30">
        <f t="shared" si="1"/>
        <v>1.6843334719788938E-2</v>
      </c>
      <c r="K165" s="32">
        <v>28.7</v>
      </c>
      <c r="L165" s="34">
        <v>6.7008000199795678E-2</v>
      </c>
      <c r="M165" s="22">
        <v>0.22700000000000001</v>
      </c>
      <c r="N165" s="30">
        <f t="shared" si="2"/>
        <v>0.13792115356532036</v>
      </c>
    </row>
    <row r="166" spans="1:14" ht="18.399999999999999" x14ac:dyDescent="0.45">
      <c r="A166" s="1">
        <v>1395</v>
      </c>
      <c r="B166" s="1" t="s">
        <v>296</v>
      </c>
      <c r="C166" s="2" t="s">
        <v>188</v>
      </c>
      <c r="D166" s="5">
        <v>39750</v>
      </c>
      <c r="F166" s="34">
        <v>3.3116025353420613E-2</v>
      </c>
      <c r="G166" s="34">
        <v>3.2424572567395983E-2</v>
      </c>
      <c r="H166" s="34">
        <v>5.3029223812364849E-2</v>
      </c>
      <c r="I166" s="29">
        <v>242.637</v>
      </c>
      <c r="J166" s="30">
        <f t="shared" si="1"/>
        <v>2.0507989115119862E-2</v>
      </c>
      <c r="K166" s="32">
        <v>28.9</v>
      </c>
      <c r="L166" s="34">
        <v>6.1372600600333414E-2</v>
      </c>
      <c r="M166" s="22">
        <v>0.24032000000000001</v>
      </c>
      <c r="N166" s="30">
        <f t="shared" si="2"/>
        <v>0.15138655303827708</v>
      </c>
    </row>
    <row r="167" spans="1:14" ht="18.399999999999999" x14ac:dyDescent="0.45">
      <c r="A167" s="1">
        <v>1395</v>
      </c>
      <c r="B167" s="1" t="s">
        <v>297</v>
      </c>
      <c r="C167" s="2" t="s">
        <v>189</v>
      </c>
      <c r="D167" s="5">
        <v>37860</v>
      </c>
      <c r="F167" s="34">
        <v>3.3775064839029201E-2</v>
      </c>
      <c r="G167" s="34">
        <v>3.3011255730687597E-2</v>
      </c>
      <c r="H167" s="34">
        <v>5.8861492445629861E-2</v>
      </c>
      <c r="I167" s="29">
        <v>243.62</v>
      </c>
      <c r="J167" s="30">
        <f t="shared" si="1"/>
        <v>2.5112349149176261E-2</v>
      </c>
      <c r="K167" s="32">
        <v>29.2</v>
      </c>
      <c r="L167" s="34">
        <v>6.9603692914258775E-2</v>
      </c>
      <c r="M167" s="22">
        <v>0.25497999999999998</v>
      </c>
      <c r="N167" s="30">
        <f t="shared" si="2"/>
        <v>0.16971560145172981</v>
      </c>
    </row>
    <row r="168" spans="1:14" ht="18.399999999999999" x14ac:dyDescent="0.45">
      <c r="A168" s="1">
        <v>1395</v>
      </c>
      <c r="B168" s="1" t="s">
        <v>298</v>
      </c>
      <c r="C168" s="2" t="s">
        <v>190</v>
      </c>
      <c r="D168" s="5">
        <v>38020</v>
      </c>
      <c r="F168" s="34">
        <v>3.1601925111843766E-2</v>
      </c>
      <c r="G168" s="34">
        <v>3.0754561959505509E-2</v>
      </c>
      <c r="H168" s="34">
        <v>6.8275259713688571E-2</v>
      </c>
      <c r="I168" s="29">
        <v>243.87200000000001</v>
      </c>
      <c r="J168" s="30">
        <f t="shared" si="1"/>
        <v>2.7539016415545792E-2</v>
      </c>
      <c r="K168" s="32">
        <v>29.3</v>
      </c>
      <c r="L168" s="34">
        <v>8.3728664518270365E-2</v>
      </c>
      <c r="M168" s="22">
        <v>0.27625</v>
      </c>
      <c r="N168" s="30">
        <f t="shared" si="2"/>
        <v>0.1925196432074307</v>
      </c>
    </row>
    <row r="169" spans="1:14" ht="18.399999999999999" x14ac:dyDescent="0.45">
      <c r="A169" s="1">
        <v>1395</v>
      </c>
      <c r="B169" s="1" t="s">
        <v>299</v>
      </c>
      <c r="C169" s="2" t="s">
        <v>191</v>
      </c>
      <c r="D169" s="5">
        <v>37300</v>
      </c>
      <c r="F169" s="34">
        <v>2.9921076525356794E-2</v>
      </c>
      <c r="G169" s="34">
        <v>2.9055708912730297E-2</v>
      </c>
      <c r="H169" s="34">
        <v>7.8812830809033868E-2</v>
      </c>
      <c r="I169" s="29">
        <v>243.76599999999999</v>
      </c>
      <c r="J169" s="30">
        <f t="shared" si="1"/>
        <v>2.3882728494623473E-2</v>
      </c>
      <c r="K169" s="32">
        <v>29.6</v>
      </c>
      <c r="L169" s="34">
        <v>0.10043579721412059</v>
      </c>
      <c r="M169" s="22">
        <v>0.22803999999999999</v>
      </c>
      <c r="N169" s="30">
        <f t="shared" si="2"/>
        <v>0.1547432778268043</v>
      </c>
    </row>
    <row r="170" spans="1:14" ht="18.399999999999999" x14ac:dyDescent="0.45">
      <c r="A170" s="1">
        <v>1396</v>
      </c>
      <c r="B170" s="1" t="s">
        <v>288</v>
      </c>
      <c r="C170" s="2" t="s">
        <v>192</v>
      </c>
      <c r="D170" s="5">
        <v>37490</v>
      </c>
      <c r="F170" s="34">
        <v>3.8561409019805384E-2</v>
      </c>
      <c r="G170" s="34">
        <v>3.8269728418320027E-2</v>
      </c>
      <c r="H170" s="34">
        <v>8.5474879537583495E-2</v>
      </c>
      <c r="I170" s="29">
        <v>244.274</v>
      </c>
      <c r="J170" s="30">
        <f t="shared" si="1"/>
        <v>2.2101158197763926E-2</v>
      </c>
      <c r="K170" s="32">
        <v>30</v>
      </c>
      <c r="L170" s="34">
        <v>0.11015311169708468</v>
      </c>
      <c r="M170" s="22">
        <v>0.23585999999999999</v>
      </c>
      <c r="N170" s="30">
        <f t="shared" si="2"/>
        <v>0.16244251023589726</v>
      </c>
    </row>
    <row r="171" spans="1:14" ht="18.399999999999999" x14ac:dyDescent="0.45">
      <c r="A171" s="1">
        <v>1396</v>
      </c>
      <c r="B171" s="1" t="s">
        <v>289</v>
      </c>
      <c r="C171" s="2" t="s">
        <v>193</v>
      </c>
      <c r="D171" s="5">
        <v>37340</v>
      </c>
      <c r="F171" s="34">
        <v>4.1286816388244885E-2</v>
      </c>
      <c r="G171" s="34">
        <v>4.1035227419248768E-2</v>
      </c>
      <c r="H171" s="34">
        <v>8.3326684352554706E-2</v>
      </c>
      <c r="I171" s="29">
        <v>244.06899999999999</v>
      </c>
      <c r="J171" s="30">
        <f t="shared" si="1"/>
        <v>1.8834765838610545E-2</v>
      </c>
      <c r="K171" s="32">
        <v>30</v>
      </c>
      <c r="L171" s="34">
        <v>0.10541532716727843</v>
      </c>
      <c r="M171" s="22">
        <v>0.24901999999999999</v>
      </c>
      <c r="N171" s="30">
        <f t="shared" si="2"/>
        <v>0.16281377290152932</v>
      </c>
    </row>
    <row r="172" spans="1:14" ht="18.399999999999999" x14ac:dyDescent="0.45">
      <c r="A172" s="1">
        <v>1396</v>
      </c>
      <c r="B172" s="1" t="s">
        <v>290</v>
      </c>
      <c r="C172" s="2" t="s">
        <v>194</v>
      </c>
      <c r="D172" s="5">
        <v>37440</v>
      </c>
      <c r="F172" s="34">
        <v>4.3431447236104787E-2</v>
      </c>
      <c r="G172" s="34">
        <v>4.3200635051883866E-2</v>
      </c>
      <c r="H172" s="34">
        <v>7.9300681117010038E-2</v>
      </c>
      <c r="I172" s="29">
        <v>244.21799999999999</v>
      </c>
      <c r="J172" s="30">
        <f t="shared" si="1"/>
        <v>1.6634612982990626E-2</v>
      </c>
      <c r="K172" s="32">
        <v>30.1</v>
      </c>
      <c r="L172" s="34">
        <v>9.8018512732788846E-2</v>
      </c>
      <c r="M172" s="22">
        <v>0.23580000000000001</v>
      </c>
      <c r="N172" s="30">
        <f t="shared" si="2"/>
        <v>0.13387268751393439</v>
      </c>
    </row>
    <row r="173" spans="1:14" ht="18.399999999999999" x14ac:dyDescent="0.45">
      <c r="A173" s="1">
        <v>1396</v>
      </c>
      <c r="B173" s="1" t="s">
        <v>291</v>
      </c>
      <c r="C173" s="2" t="s">
        <v>195</v>
      </c>
      <c r="D173" s="5">
        <v>37720</v>
      </c>
      <c r="F173" s="34">
        <v>5.7242259173746673E-2</v>
      </c>
      <c r="G173" s="34">
        <v>5.7167415080964901E-2</v>
      </c>
      <c r="H173" s="34">
        <v>8.054494123161661E-2</v>
      </c>
      <c r="I173" s="29">
        <v>244.28</v>
      </c>
      <c r="J173" s="30">
        <f t="shared" si="1"/>
        <v>1.740517532205188E-2</v>
      </c>
      <c r="K173" s="32">
        <v>30.4</v>
      </c>
      <c r="L173" s="34">
        <v>9.2585109297651513E-2</v>
      </c>
      <c r="M173" s="22">
        <v>0.23367499999999999</v>
      </c>
      <c r="N173" s="30">
        <f t="shared" si="2"/>
        <v>9.3245822284638596E-2</v>
      </c>
    </row>
    <row r="174" spans="1:14" ht="18.399999999999999" x14ac:dyDescent="0.45">
      <c r="A174" s="1">
        <v>1396</v>
      </c>
      <c r="B174" s="1" t="s">
        <v>292</v>
      </c>
      <c r="C174" s="2" t="s">
        <v>196</v>
      </c>
      <c r="D174" s="5">
        <v>38300</v>
      </c>
      <c r="F174" s="34">
        <v>5.9258322709347055E-2</v>
      </c>
      <c r="G174" s="34">
        <v>5.918971245926883E-2</v>
      </c>
      <c r="H174" s="34">
        <v>7.4387906615127689E-2</v>
      </c>
      <c r="I174" s="29">
        <v>245.20500000000001</v>
      </c>
      <c r="J174" s="30">
        <f t="shared" si="1"/>
        <v>1.9372674551539237E-2</v>
      </c>
      <c r="K174" s="32">
        <v>30.5</v>
      </c>
      <c r="L174" s="34">
        <v>8.2131659551732808E-2</v>
      </c>
      <c r="M174" s="22">
        <v>0.21156700000000001</v>
      </c>
      <c r="N174" s="30">
        <f t="shared" si="2"/>
        <v>1.745820220915717E-2</v>
      </c>
    </row>
    <row r="175" spans="1:14" ht="18.399999999999999" x14ac:dyDescent="0.45">
      <c r="A175" s="1">
        <v>1396</v>
      </c>
      <c r="B175" s="1" t="s">
        <v>293</v>
      </c>
      <c r="C175" s="2" t="s">
        <v>197</v>
      </c>
      <c r="D175" s="5">
        <v>38940</v>
      </c>
      <c r="F175" s="34">
        <v>6.1215567171432068E-2</v>
      </c>
      <c r="G175" s="34">
        <v>6.1216872713681883E-2</v>
      </c>
      <c r="H175" s="34">
        <v>7.1468017980808013E-2</v>
      </c>
      <c r="I175" s="29">
        <v>246.55099999999999</v>
      </c>
      <c r="J175" s="30">
        <f t="shared" si="1"/>
        <v>2.2286628851958756E-2</v>
      </c>
      <c r="K175" s="32">
        <v>30.5</v>
      </c>
      <c r="L175" s="34">
        <v>7.6688549120583788E-2</v>
      </c>
      <c r="M175" s="22">
        <v>0.194767</v>
      </c>
      <c r="N175" s="30">
        <f t="shared" si="2"/>
        <v>-6.1957457053493453E-2</v>
      </c>
    </row>
    <row r="176" spans="1:14" ht="18.399999999999999" x14ac:dyDescent="0.45">
      <c r="A176" s="1">
        <v>1396</v>
      </c>
      <c r="B176" s="1" t="s">
        <v>294</v>
      </c>
      <c r="C176" s="2" t="s">
        <v>198</v>
      </c>
      <c r="D176" s="5">
        <v>40120</v>
      </c>
      <c r="F176" s="34">
        <v>7.5496502086278519E-2</v>
      </c>
      <c r="G176" s="34">
        <v>7.5640551100528905E-2</v>
      </c>
      <c r="H176" s="34">
        <v>8.0772606739146796E-2</v>
      </c>
      <c r="I176" s="29">
        <v>246.65700000000001</v>
      </c>
      <c r="J176" s="30">
        <f t="shared" si="1"/>
        <v>2.0335813949640347E-2</v>
      </c>
      <c r="K176" s="32">
        <v>31</v>
      </c>
      <c r="L176" s="34">
        <v>8.3383606266944674E-2</v>
      </c>
      <c r="M176" s="22">
        <v>0.163017</v>
      </c>
      <c r="N176" s="30">
        <f t="shared" si="2"/>
        <v>-0.16094695795538214</v>
      </c>
    </row>
    <row r="177" spans="1:14" ht="18.399999999999999" x14ac:dyDescent="0.45">
      <c r="A177" s="1">
        <v>1396</v>
      </c>
      <c r="B177" s="1" t="s">
        <v>295</v>
      </c>
      <c r="C177" s="2" t="s">
        <v>199</v>
      </c>
      <c r="D177" s="5">
        <v>40980</v>
      </c>
      <c r="F177" s="34">
        <v>8.2316497247183235E-2</v>
      </c>
      <c r="G177" s="34">
        <v>8.2455555413961434E-2</v>
      </c>
      <c r="H177" s="34">
        <v>8.9078846434679657E-2</v>
      </c>
      <c r="I177" s="29">
        <v>247.37799999999999</v>
      </c>
      <c r="J177" s="30">
        <f t="shared" si="1"/>
        <v>2.2113326667382749E-2</v>
      </c>
      <c r="K177" s="32">
        <v>31.3</v>
      </c>
      <c r="L177" s="34">
        <v>9.2443251692719886E-2</v>
      </c>
      <c r="M177" s="22">
        <v>0.160833</v>
      </c>
      <c r="N177" s="30">
        <f t="shared" si="2"/>
        <v>-0.18414267225809805</v>
      </c>
    </row>
    <row r="178" spans="1:14" ht="18.399999999999999" x14ac:dyDescent="0.45">
      <c r="A178" s="1">
        <v>1396</v>
      </c>
      <c r="B178" s="1" t="s">
        <v>296</v>
      </c>
      <c r="C178" s="2" t="s">
        <v>200</v>
      </c>
      <c r="D178" s="5">
        <v>41880</v>
      </c>
      <c r="F178" s="34">
        <v>8.4016627658770632E-2</v>
      </c>
      <c r="G178" s="34">
        <v>8.4181223317405476E-2</v>
      </c>
      <c r="H178" s="34">
        <v>8.8933446961722923E-2</v>
      </c>
      <c r="I178" s="29">
        <v>247.73599999999999</v>
      </c>
      <c r="J178" s="30">
        <f t="shared" ref="J178:J241" si="3">I178/I166-1</f>
        <v>2.1014931770504841E-2</v>
      </c>
      <c r="K178" s="32">
        <v>31.5</v>
      </c>
      <c r="L178" s="34">
        <v>9.1327486394074106E-2</v>
      </c>
      <c r="M178" s="22">
        <v>0.15561700000000001</v>
      </c>
      <c r="N178" s="30">
        <f t="shared" si="2"/>
        <v>-0.21364025828382438</v>
      </c>
    </row>
    <row r="179" spans="1:14" ht="18.399999999999999" x14ac:dyDescent="0.45">
      <c r="A179" s="1">
        <v>1396</v>
      </c>
      <c r="B179" s="1" t="s">
        <v>297</v>
      </c>
      <c r="C179" s="2" t="s">
        <v>201</v>
      </c>
      <c r="D179" s="5">
        <v>45550</v>
      </c>
      <c r="F179" s="34">
        <v>8.8851260136076887E-2</v>
      </c>
      <c r="G179" s="34">
        <v>8.9113484257788686E-2</v>
      </c>
      <c r="H179" s="34">
        <v>8.5264398548270184E-2</v>
      </c>
      <c r="I179" s="29">
        <v>248.721</v>
      </c>
      <c r="J179" s="30">
        <f t="shared" si="3"/>
        <v>2.0938346605368974E-2</v>
      </c>
      <c r="K179" s="32">
        <v>31.6</v>
      </c>
      <c r="L179" s="34">
        <v>8.3334366689914674E-2</v>
      </c>
      <c r="M179" s="22">
        <v>0.157114</v>
      </c>
      <c r="N179" s="30">
        <f t="shared" si="2"/>
        <v>-0.23314118289546101</v>
      </c>
    </row>
    <row r="180" spans="1:14" ht="18.399999999999999" x14ac:dyDescent="0.45">
      <c r="A180" s="1">
        <v>1396</v>
      </c>
      <c r="B180" s="1" t="s">
        <v>298</v>
      </c>
      <c r="C180" s="2" t="s">
        <v>202</v>
      </c>
      <c r="D180" s="5">
        <v>45880</v>
      </c>
      <c r="F180" s="34">
        <v>9.5226254546569605E-2</v>
      </c>
      <c r="G180" s="34">
        <v>9.556672282028672E-2</v>
      </c>
      <c r="H180" s="34">
        <v>8.3730356792569294E-2</v>
      </c>
      <c r="I180" s="29">
        <v>249.3</v>
      </c>
      <c r="J180" s="30">
        <f t="shared" si="3"/>
        <v>2.2257577745702584E-2</v>
      </c>
      <c r="K180" s="32">
        <v>31.7</v>
      </c>
      <c r="L180" s="34">
        <v>7.7819773544491391E-2</v>
      </c>
      <c r="M180" s="22">
        <v>0.20677100000000001</v>
      </c>
      <c r="N180" s="30">
        <f t="shared" si="2"/>
        <v>-0.20782622657897545</v>
      </c>
    </row>
    <row r="181" spans="1:14" ht="18.399999999999999" x14ac:dyDescent="0.45">
      <c r="A181" s="1">
        <v>1396</v>
      </c>
      <c r="B181" s="1" t="s">
        <v>299</v>
      </c>
      <c r="C181" s="2" t="s">
        <v>203</v>
      </c>
      <c r="D181" s="5">
        <v>47730</v>
      </c>
      <c r="F181" s="34">
        <v>0.1003368470272801</v>
      </c>
      <c r="G181" s="34">
        <v>0.10075222557814258</v>
      </c>
      <c r="H181" s="34">
        <v>7.3296722173195689E-2</v>
      </c>
      <c r="I181" s="29">
        <v>249.517</v>
      </c>
      <c r="J181" s="30">
        <f t="shared" si="3"/>
        <v>2.3592297531239037E-2</v>
      </c>
      <c r="K181" s="32">
        <v>31.8</v>
      </c>
      <c r="L181" s="34">
        <v>5.9791850003940536E-2</v>
      </c>
      <c r="M181" s="22">
        <v>0.201353</v>
      </c>
      <c r="N181" s="30">
        <f t="shared" si="2"/>
        <v>-0.26456031199124252</v>
      </c>
    </row>
    <row r="182" spans="1:14" ht="18.399999999999999" x14ac:dyDescent="0.45">
      <c r="A182" s="1">
        <v>1397</v>
      </c>
      <c r="B182" s="1" t="s">
        <v>288</v>
      </c>
      <c r="C182" s="2" t="s">
        <v>204</v>
      </c>
      <c r="D182" s="5">
        <v>58000</v>
      </c>
      <c r="F182" s="34">
        <v>9.8948435768048168E-2</v>
      </c>
      <c r="G182" s="34">
        <v>9.9315171079329898E-2</v>
      </c>
      <c r="H182" s="34">
        <v>7.3417489764102728E-2</v>
      </c>
      <c r="I182" s="29">
        <v>250.27500000000001</v>
      </c>
      <c r="J182" s="30">
        <f t="shared" si="3"/>
        <v>2.4566675127111415E-2</v>
      </c>
      <c r="K182" s="32">
        <v>32.200000000000003</v>
      </c>
      <c r="L182" s="34">
        <v>6.0755182526987708E-2</v>
      </c>
      <c r="M182" s="22">
        <v>0.22264</v>
      </c>
      <c r="N182" s="30">
        <f t="shared" si="2"/>
        <v>-0.27694219974567214</v>
      </c>
    </row>
    <row r="183" spans="1:14" ht="18.399999999999999" x14ac:dyDescent="0.45">
      <c r="A183" s="1">
        <v>1397</v>
      </c>
      <c r="B183" s="1" t="s">
        <v>289</v>
      </c>
      <c r="C183" s="2" t="s">
        <v>205</v>
      </c>
      <c r="D183" s="5">
        <v>64000</v>
      </c>
      <c r="F183" s="34">
        <v>0.10119026934849401</v>
      </c>
      <c r="G183" s="34">
        <v>0.10152177219724351</v>
      </c>
      <c r="H183" s="34">
        <v>8.6206227098470686E-2</v>
      </c>
      <c r="I183" s="29">
        <v>250.786</v>
      </c>
      <c r="J183" s="30">
        <f t="shared" si="3"/>
        <v>2.7520905973310805E-2</v>
      </c>
      <c r="K183" s="32">
        <v>32.6</v>
      </c>
      <c r="L183" s="34">
        <v>7.8672865950067894E-2</v>
      </c>
      <c r="M183" s="22">
        <v>0.22598699999999999</v>
      </c>
      <c r="N183" s="30">
        <f t="shared" si="2"/>
        <v>-0.28112756261582977</v>
      </c>
    </row>
    <row r="184" spans="1:14" ht="18.399999999999999" x14ac:dyDescent="0.45">
      <c r="A184" s="1">
        <v>1397</v>
      </c>
      <c r="B184" s="1" t="s">
        <v>290</v>
      </c>
      <c r="C184" s="2" t="s">
        <v>206</v>
      </c>
      <c r="D184" s="5">
        <v>75500</v>
      </c>
      <c r="F184" s="34">
        <v>0.10260825947325287</v>
      </c>
      <c r="G184" s="34">
        <v>0.10282356790576827</v>
      </c>
      <c r="H184" s="34">
        <v>0.10192731248606562</v>
      </c>
      <c r="I184" s="29">
        <v>251.15199999999999</v>
      </c>
      <c r="J184" s="30">
        <f t="shared" si="3"/>
        <v>2.8392665569286546E-2</v>
      </c>
      <c r="K184" s="32">
        <v>33.1</v>
      </c>
      <c r="L184" s="34">
        <v>0.10148580532178912</v>
      </c>
      <c r="M184" s="22">
        <v>0.252859</v>
      </c>
      <c r="N184" s="30">
        <f t="shared" si="2"/>
        <v>-0.24061788499059672</v>
      </c>
    </row>
    <row r="185" spans="1:14" ht="18.399999999999999" x14ac:dyDescent="0.45">
      <c r="A185" s="1">
        <v>1397</v>
      </c>
      <c r="B185" s="1" t="s">
        <v>291</v>
      </c>
      <c r="C185" s="2" t="s">
        <v>207</v>
      </c>
      <c r="D185" s="5">
        <v>90500</v>
      </c>
      <c r="F185" s="34">
        <v>0.15197130335877135</v>
      </c>
      <c r="G185" s="34">
        <v>0.15228659315014142</v>
      </c>
      <c r="H185" s="34">
        <v>0.1404291777153614</v>
      </c>
      <c r="I185" s="29">
        <v>251.345</v>
      </c>
      <c r="J185" s="30">
        <f t="shared" si="3"/>
        <v>2.8921729163255305E-2</v>
      </c>
      <c r="K185" s="32">
        <v>34.700000000000003</v>
      </c>
      <c r="L185" s="34">
        <v>0.13452019764898451</v>
      </c>
      <c r="M185" s="22">
        <v>0.27998899999999999</v>
      </c>
      <c r="N185" s="30">
        <f t="shared" si="2"/>
        <v>-0.18913467735287176</v>
      </c>
    </row>
    <row r="186" spans="1:14" ht="18.399999999999999" x14ac:dyDescent="0.45">
      <c r="A186" s="1">
        <v>1397</v>
      </c>
      <c r="B186" s="1" t="s">
        <v>292</v>
      </c>
      <c r="C186" s="2" t="s">
        <v>208</v>
      </c>
      <c r="D186" s="5">
        <v>106000</v>
      </c>
      <c r="F186" s="34">
        <v>0.16846119168551682</v>
      </c>
      <c r="G186" s="34">
        <v>0.16859129872846837</v>
      </c>
      <c r="H186" s="34">
        <v>0.19410879779084284</v>
      </c>
      <c r="I186" s="29">
        <v>251.73500000000001</v>
      </c>
      <c r="J186" s="30">
        <f t="shared" si="3"/>
        <v>2.663077832833749E-2</v>
      </c>
      <c r="K186" s="32">
        <v>36.5</v>
      </c>
      <c r="L186" s="34">
        <v>0.20683477843484296</v>
      </c>
      <c r="M186" s="22">
        <v>0.29075000000000001</v>
      </c>
      <c r="N186" s="30">
        <f t="shared" si="2"/>
        <v>-0.11708174314030789</v>
      </c>
    </row>
    <row r="187" spans="1:14" ht="18.399999999999999" x14ac:dyDescent="0.45">
      <c r="A187" s="1">
        <v>1397</v>
      </c>
      <c r="B187" s="1" t="s">
        <v>293</v>
      </c>
      <c r="C187" s="2" t="s">
        <v>209</v>
      </c>
      <c r="D187" s="5">
        <v>145000</v>
      </c>
      <c r="F187" s="34">
        <v>0.1878931523859258</v>
      </c>
      <c r="G187" s="34">
        <v>0.187800255264778</v>
      </c>
      <c r="H187" s="34">
        <v>0.25672445705349345</v>
      </c>
      <c r="I187" s="29">
        <v>252.18299999999999</v>
      </c>
      <c r="J187" s="30">
        <f t="shared" si="3"/>
        <v>2.2843144014828676E-2</v>
      </c>
      <c r="K187" s="32">
        <v>38.4</v>
      </c>
      <c r="L187" s="34">
        <v>0.29132063323866786</v>
      </c>
      <c r="M187" s="22">
        <v>0.28594799999999998</v>
      </c>
      <c r="N187" s="30">
        <f t="shared" si="2"/>
        <v>-5.8878391800021135E-2</v>
      </c>
    </row>
    <row r="188" spans="1:14" ht="18.399999999999999" x14ac:dyDescent="0.45">
      <c r="A188" s="1">
        <v>1397</v>
      </c>
      <c r="B188" s="1" t="s">
        <v>294</v>
      </c>
      <c r="C188" s="2" t="s">
        <v>210</v>
      </c>
      <c r="D188" s="5">
        <v>140000</v>
      </c>
      <c r="F188" s="34">
        <v>0.22342815671354926</v>
      </c>
      <c r="G188" s="34">
        <v>0.22313711097669284</v>
      </c>
      <c r="H188" s="34">
        <v>0.32396395795538213</v>
      </c>
      <c r="I188" s="29">
        <v>252.899</v>
      </c>
      <c r="J188" s="30">
        <f t="shared" si="3"/>
        <v>2.5306397142590642E-2</v>
      </c>
      <c r="K188" s="32">
        <v>41</v>
      </c>
      <c r="L188" s="34">
        <v>0.37489429268109292</v>
      </c>
      <c r="M188" s="22">
        <v>0.253774</v>
      </c>
      <c r="N188" s="30">
        <f t="shared" si="2"/>
        <v>-2.9298093166319095E-2</v>
      </c>
    </row>
    <row r="189" spans="1:14" ht="18.399999999999999" x14ac:dyDescent="0.45">
      <c r="A189" s="1">
        <v>1397</v>
      </c>
      <c r="B189" s="1" t="s">
        <v>295</v>
      </c>
      <c r="C189" s="2" t="s">
        <v>211</v>
      </c>
      <c r="D189" s="5">
        <v>131000</v>
      </c>
      <c r="E189" s="16">
        <v>90431.428571428565</v>
      </c>
      <c r="F189" s="34">
        <v>0.2332415552293729</v>
      </c>
      <c r="G189" s="34">
        <v>0.23287337956473181</v>
      </c>
      <c r="H189" s="34">
        <v>0.34497567225809805</v>
      </c>
      <c r="I189" s="29">
        <v>252.822</v>
      </c>
      <c r="J189" s="30">
        <f t="shared" si="3"/>
        <v>2.2006807395968941E-2</v>
      </c>
      <c r="K189" s="32">
        <v>42.1</v>
      </c>
      <c r="L189" s="34">
        <v>0.40139918849554335</v>
      </c>
      <c r="M189" s="22">
        <v>0.23891200000000001</v>
      </c>
      <c r="N189" s="30">
        <f t="shared" si="2"/>
        <v>-3.0710465507319151E-2</v>
      </c>
    </row>
    <row r="190" spans="1:14" ht="18.399999999999999" x14ac:dyDescent="0.45">
      <c r="A190" s="1">
        <v>1397</v>
      </c>
      <c r="B190" s="1" t="s">
        <v>296</v>
      </c>
      <c r="C190" s="2" t="s">
        <v>212</v>
      </c>
      <c r="D190" s="5">
        <v>103500</v>
      </c>
      <c r="E190" s="16">
        <v>90489.266666666663</v>
      </c>
      <c r="F190" s="34">
        <v>0.24478394522239583</v>
      </c>
      <c r="G190" s="34">
        <v>0.24431659548541845</v>
      </c>
      <c r="H190" s="34">
        <v>0.36925725828382439</v>
      </c>
      <c r="I190" s="29">
        <v>252.49299999999999</v>
      </c>
      <c r="J190" s="30">
        <f t="shared" si="3"/>
        <v>1.9201892337003867E-2</v>
      </c>
      <c r="K190" s="32">
        <v>43.1</v>
      </c>
      <c r="L190" s="34">
        <v>0.43178676780983921</v>
      </c>
      <c r="M190" s="22">
        <v>0.21831400000000001</v>
      </c>
      <c r="N190" s="30">
        <f t="shared" si="2"/>
        <v>-5.7344015999115927E-2</v>
      </c>
    </row>
    <row r="191" spans="1:14" ht="18.399999999999999" x14ac:dyDescent="0.45">
      <c r="A191" s="1">
        <v>1397</v>
      </c>
      <c r="B191" s="1" t="s">
        <v>297</v>
      </c>
      <c r="C191" s="2" t="s">
        <v>213</v>
      </c>
      <c r="D191" s="5">
        <v>122000</v>
      </c>
      <c r="E191" s="16">
        <v>89252.160000000003</v>
      </c>
      <c r="F191" s="34">
        <v>0.24709592470794475</v>
      </c>
      <c r="G191" s="34">
        <v>0.24630329539033455</v>
      </c>
      <c r="H191" s="34">
        <v>0.39025518289546102</v>
      </c>
      <c r="I191" s="29">
        <v>252.441</v>
      </c>
      <c r="J191" s="30">
        <f t="shared" si="3"/>
        <v>1.4956517543753822E-2</v>
      </c>
      <c r="K191" s="32">
        <v>44</v>
      </c>
      <c r="L191" s="34">
        <v>0.46282146524001322</v>
      </c>
      <c r="M191" s="22">
        <v>0.213891</v>
      </c>
      <c r="N191" s="30">
        <f t="shared" si="2"/>
        <v>-4.7876431901737126E-2</v>
      </c>
    </row>
    <row r="192" spans="1:14" ht="18.399999999999999" x14ac:dyDescent="0.45">
      <c r="A192" s="1">
        <v>1397</v>
      </c>
      <c r="B192" s="1" t="s">
        <v>298</v>
      </c>
      <c r="C192" s="2" t="s">
        <v>214</v>
      </c>
      <c r="D192" s="5">
        <v>133000</v>
      </c>
      <c r="E192" s="16">
        <v>85406.25</v>
      </c>
      <c r="F192" s="34">
        <v>0.24153499719264346</v>
      </c>
      <c r="G192" s="34">
        <v>0.24062022525447049</v>
      </c>
      <c r="H192" s="34">
        <v>0.41459722657897546</v>
      </c>
      <c r="I192" s="29">
        <v>252.96899999999999</v>
      </c>
      <c r="J192" s="30">
        <f t="shared" si="3"/>
        <v>1.4717208182912112E-2</v>
      </c>
      <c r="K192" s="32">
        <v>44.9</v>
      </c>
      <c r="L192" s="34">
        <v>0.50290450053458158</v>
      </c>
      <c r="M192" s="22">
        <v>0.21624499999999999</v>
      </c>
      <c r="N192" s="30">
        <f t="shared" si="2"/>
        <v>-3.4391588586955762E-2</v>
      </c>
    </row>
    <row r="193" spans="1:14" ht="18.399999999999999" x14ac:dyDescent="0.45">
      <c r="A193" s="1">
        <v>1397</v>
      </c>
      <c r="B193" s="1" t="s">
        <v>299</v>
      </c>
      <c r="C193" s="2" t="s">
        <v>215</v>
      </c>
      <c r="D193" s="5">
        <v>135000</v>
      </c>
      <c r="E193" s="16">
        <v>89693.71428571429</v>
      </c>
      <c r="F193" s="34">
        <v>0.24060348079787958</v>
      </c>
      <c r="G193" s="34">
        <v>0.23956528241788505</v>
      </c>
      <c r="H193" s="34">
        <v>0.46591331199124253</v>
      </c>
      <c r="I193" s="29">
        <v>254.14699999999999</v>
      </c>
      <c r="J193" s="30">
        <f t="shared" si="3"/>
        <v>1.8555849902010646E-2</v>
      </c>
      <c r="K193" s="32">
        <v>46.6</v>
      </c>
      <c r="L193" s="34">
        <v>0.58155296549287494</v>
      </c>
      <c r="M193" s="22">
        <v>0.21612100000000001</v>
      </c>
      <c r="N193" s="30">
        <f t="shared" si="2"/>
        <v>-5.4737038480245914E-3</v>
      </c>
    </row>
    <row r="194" spans="1:14" ht="18.399999999999999" x14ac:dyDescent="0.45">
      <c r="A194" s="1">
        <v>1398</v>
      </c>
      <c r="B194" s="1" t="s">
        <v>288</v>
      </c>
      <c r="C194" s="2" t="s">
        <v>216</v>
      </c>
      <c r="D194" s="5">
        <v>137000</v>
      </c>
      <c r="E194" s="16">
        <v>93168</v>
      </c>
      <c r="F194" s="34">
        <v>0.25241316425329202</v>
      </c>
      <c r="G194" s="34">
        <v>0.25134110190762088</v>
      </c>
      <c r="H194" s="34">
        <v>0.49958219974567214</v>
      </c>
      <c r="I194" s="29">
        <v>255.32599999999999</v>
      </c>
      <c r="J194" s="30">
        <f t="shared" si="3"/>
        <v>2.0181800019978047E-2</v>
      </c>
      <c r="K194" s="32">
        <v>48.3</v>
      </c>
      <c r="L194" s="34">
        <v>0.62536831569694384</v>
      </c>
      <c r="M194" s="22">
        <v>0.22745399999999999</v>
      </c>
      <c r="N194" s="30">
        <f t="shared" si="2"/>
        <v>2.5879124244591017E-2</v>
      </c>
    </row>
    <row r="195" spans="1:14" ht="18.399999999999999" x14ac:dyDescent="0.45">
      <c r="A195" s="1">
        <v>1398</v>
      </c>
      <c r="B195" s="1" t="s">
        <v>289</v>
      </c>
      <c r="C195" s="2" t="s">
        <v>217</v>
      </c>
      <c r="D195" s="5">
        <v>143000</v>
      </c>
      <c r="E195" s="16">
        <v>110107</v>
      </c>
      <c r="F195" s="34">
        <v>0.25350292543028319</v>
      </c>
      <c r="G195" s="34">
        <v>0.25213454368466698</v>
      </c>
      <c r="H195" s="34">
        <v>0.50711456261582977</v>
      </c>
      <c r="I195" s="29">
        <v>255.37100000000001</v>
      </c>
      <c r="J195" s="30">
        <f t="shared" si="3"/>
        <v>1.828251975788131E-2</v>
      </c>
      <c r="K195" s="32">
        <v>49.1</v>
      </c>
      <c r="L195" s="34">
        <v>0.63518998887649902</v>
      </c>
      <c r="M195" s="22">
        <v>0.22891300000000001</v>
      </c>
      <c r="N195" s="30">
        <f t="shared" si="2"/>
        <v>1.5481389191306649E-2</v>
      </c>
    </row>
    <row r="196" spans="1:14" ht="18.399999999999999" x14ac:dyDescent="0.45">
      <c r="A196" s="1">
        <v>1398</v>
      </c>
      <c r="B196" s="1" t="s">
        <v>290</v>
      </c>
      <c r="C196" s="2" t="s">
        <v>218</v>
      </c>
      <c r="D196" s="5">
        <v>134500</v>
      </c>
      <c r="E196" s="16">
        <v>111777</v>
      </c>
      <c r="F196" s="34">
        <v>0.26505357323738948</v>
      </c>
      <c r="G196" s="34">
        <v>0.26369382715211714</v>
      </c>
      <c r="H196" s="34">
        <v>0.49347688499059672</v>
      </c>
      <c r="I196" s="29">
        <v>255.423</v>
      </c>
      <c r="J196" s="30">
        <f t="shared" si="3"/>
        <v>1.7005638020003877E-2</v>
      </c>
      <c r="K196" s="32">
        <v>49.5</v>
      </c>
      <c r="L196" s="34">
        <v>0.60680850547824516</v>
      </c>
      <c r="M196" s="22">
        <v>0.220748</v>
      </c>
      <c r="N196" s="30">
        <f t="shared" si="2"/>
        <v>-6.6892029378379514E-3</v>
      </c>
    </row>
    <row r="197" spans="1:14" ht="18.399999999999999" x14ac:dyDescent="0.45">
      <c r="A197" s="1">
        <v>1398</v>
      </c>
      <c r="B197" s="1" t="s">
        <v>291</v>
      </c>
      <c r="C197" s="2" t="s">
        <v>219</v>
      </c>
      <c r="D197" s="5">
        <v>123500</v>
      </c>
      <c r="E197" s="16">
        <v>115845</v>
      </c>
      <c r="F197" s="34">
        <v>0.23811026232783064</v>
      </c>
      <c r="G197" s="34">
        <v>0.23678463717148346</v>
      </c>
      <c r="H197" s="34">
        <v>0.46912367735287175</v>
      </c>
      <c r="I197" s="29">
        <v>255.92500000000001</v>
      </c>
      <c r="J197" s="30">
        <f t="shared" si="3"/>
        <v>1.8221965823867592E-2</v>
      </c>
      <c r="K197" s="32">
        <v>51</v>
      </c>
      <c r="L197" s="34">
        <v>0.586719787607897</v>
      </c>
      <c r="M197" s="22">
        <v>0.223026</v>
      </c>
      <c r="N197" s="30">
        <f t="shared" si="2"/>
        <v>-4.7274268946441544E-2</v>
      </c>
    </row>
    <row r="198" spans="1:14" ht="18.399999999999999" x14ac:dyDescent="0.45">
      <c r="A198" s="1">
        <v>1398</v>
      </c>
      <c r="B198" s="1" t="s">
        <v>292</v>
      </c>
      <c r="C198" s="2" t="s">
        <v>220</v>
      </c>
      <c r="D198" s="5">
        <v>117300</v>
      </c>
      <c r="E198" s="16">
        <v>112913</v>
      </c>
      <c r="F198" s="34">
        <v>0.23223150383629701</v>
      </c>
      <c r="G198" s="34">
        <v>0.23111388364396859</v>
      </c>
      <c r="H198" s="34">
        <v>0.4078317431403079</v>
      </c>
      <c r="I198" s="29">
        <v>256.11799999999999</v>
      </c>
      <c r="J198" s="30">
        <f t="shared" si="3"/>
        <v>1.7411166504458953E-2</v>
      </c>
      <c r="K198" s="32">
        <v>51.3</v>
      </c>
      <c r="L198" s="34">
        <v>0.4931709150698762</v>
      </c>
      <c r="M198" s="22">
        <v>0.223665</v>
      </c>
      <c r="N198" s="30">
        <f t="shared" si="2"/>
        <v>-8.2190483256235347E-2</v>
      </c>
    </row>
    <row r="199" spans="1:14" ht="18.399999999999999" x14ac:dyDescent="0.45">
      <c r="A199" s="1">
        <v>1398</v>
      </c>
      <c r="B199" s="1" t="s">
        <v>293</v>
      </c>
      <c r="C199" s="2" t="s">
        <v>221</v>
      </c>
      <c r="D199" s="5">
        <v>115000</v>
      </c>
      <c r="E199" s="16">
        <v>108900</v>
      </c>
      <c r="F199" s="34">
        <v>0.22633267117961495</v>
      </c>
      <c r="G199" s="34">
        <v>0.22552447575367296</v>
      </c>
      <c r="H199" s="34">
        <v>0.34482639180002111</v>
      </c>
      <c r="I199" s="29">
        <v>256.53199999999998</v>
      </c>
      <c r="J199" s="30">
        <f t="shared" si="3"/>
        <v>1.7245413053219139E-2</v>
      </c>
      <c r="K199" s="32">
        <v>51.6</v>
      </c>
      <c r="L199" s="34">
        <v>0.39990882259260047</v>
      </c>
      <c r="M199" s="22">
        <v>0.20647599999999999</v>
      </c>
      <c r="N199" s="30">
        <f t="shared" si="2"/>
        <v>-0.13846100396766886</v>
      </c>
    </row>
    <row r="200" spans="1:14" ht="18.399999999999999" x14ac:dyDescent="0.45">
      <c r="A200" s="1">
        <v>1398</v>
      </c>
      <c r="B200" s="1" t="s">
        <v>294</v>
      </c>
      <c r="C200" s="2" t="s">
        <v>222</v>
      </c>
      <c r="D200" s="5">
        <v>114000</v>
      </c>
      <c r="E200" s="16">
        <v>107416</v>
      </c>
      <c r="F200" s="34">
        <v>0.21984580597476452</v>
      </c>
      <c r="G200" s="34">
        <v>0.21928832736927134</v>
      </c>
      <c r="H200" s="34">
        <v>0.28307209316631909</v>
      </c>
      <c r="I200" s="29">
        <v>257.387</v>
      </c>
      <c r="J200" s="30">
        <f t="shared" si="3"/>
        <v>1.7746214892111034E-2</v>
      </c>
      <c r="K200" s="32">
        <v>52.6</v>
      </c>
      <c r="L200" s="34">
        <v>0.31173474277820901</v>
      </c>
      <c r="M200" s="22">
        <v>0.20271700000000001</v>
      </c>
      <c r="N200" s="30">
        <f t="shared" si="2"/>
        <v>-0.21037272683048039</v>
      </c>
    </row>
    <row r="201" spans="1:14" ht="18.399999999999999" x14ac:dyDescent="0.45">
      <c r="A201" s="1">
        <v>1398</v>
      </c>
      <c r="B201" s="1" t="s">
        <v>295</v>
      </c>
      <c r="C201" s="2" t="s">
        <v>223</v>
      </c>
      <c r="D201" s="5">
        <v>119500</v>
      </c>
      <c r="E201" s="16">
        <v>107390</v>
      </c>
      <c r="F201" s="34">
        <v>0.216457429171967</v>
      </c>
      <c r="G201" s="34">
        <v>0.21599728348960226</v>
      </c>
      <c r="H201" s="34">
        <v>0.26962246550731916</v>
      </c>
      <c r="I201" s="29">
        <v>257.98899999999998</v>
      </c>
      <c r="J201" s="30">
        <f t="shared" si="3"/>
        <v>2.0437303715657551E-2</v>
      </c>
      <c r="K201" s="32">
        <v>53.4</v>
      </c>
      <c r="L201" s="34">
        <v>0.29336740380941106</v>
      </c>
      <c r="M201" s="22">
        <v>0.206543</v>
      </c>
      <c r="N201" s="30">
        <f t="shared" si="2"/>
        <v>-0.25073030725495871</v>
      </c>
    </row>
    <row r="202" spans="1:14" ht="18.399999999999999" x14ac:dyDescent="0.45">
      <c r="A202" s="1">
        <v>1398</v>
      </c>
      <c r="B202" s="1" t="s">
        <v>296</v>
      </c>
      <c r="C202" s="2" t="s">
        <v>224</v>
      </c>
      <c r="D202" s="5">
        <v>133200</v>
      </c>
      <c r="E202" s="16">
        <v>112688</v>
      </c>
      <c r="F202" s="34">
        <v>0.21227683498894565</v>
      </c>
      <c r="G202" s="34">
        <v>0.21179682764997934</v>
      </c>
      <c r="H202" s="34">
        <v>0.27565801599911594</v>
      </c>
      <c r="I202" s="29">
        <v>258.20299999999997</v>
      </c>
      <c r="J202" s="30">
        <f t="shared" si="3"/>
        <v>2.2614488322448389E-2</v>
      </c>
      <c r="K202" s="32">
        <v>55</v>
      </c>
      <c r="L202" s="34">
        <v>0.3034340836523205</v>
      </c>
      <c r="M202" s="22">
        <v>0.20855599999999999</v>
      </c>
      <c r="N202" s="30">
        <f t="shared" si="2"/>
        <v>-0.23315171894140532</v>
      </c>
    </row>
    <row r="203" spans="1:14" ht="18.399999999999999" x14ac:dyDescent="0.45">
      <c r="A203" s="1">
        <v>1398</v>
      </c>
      <c r="B203" s="1" t="s">
        <v>297</v>
      </c>
      <c r="C203" s="2" t="s">
        <v>225</v>
      </c>
      <c r="D203" s="5">
        <v>135500</v>
      </c>
      <c r="E203" s="16">
        <v>120452</v>
      </c>
      <c r="F203" s="34">
        <v>0.21924844511367539</v>
      </c>
      <c r="G203" s="34">
        <v>0.21879921567543434</v>
      </c>
      <c r="H203" s="34">
        <v>0.26176743190173712</v>
      </c>
      <c r="I203" s="29">
        <v>258.68700000000001</v>
      </c>
      <c r="J203" s="30">
        <f t="shared" si="3"/>
        <v>2.4742415059360479E-2</v>
      </c>
      <c r="K203" s="32">
        <v>55.5</v>
      </c>
      <c r="L203" s="34">
        <v>0.28022171821140007</v>
      </c>
      <c r="M203" s="22">
        <v>0.20350599999999999</v>
      </c>
      <c r="N203" s="30">
        <f t="shared" si="2"/>
        <v>-0.25162451582577816</v>
      </c>
    </row>
    <row r="204" spans="1:14" ht="18.399999999999999" x14ac:dyDescent="0.45">
      <c r="A204" s="1">
        <v>1398</v>
      </c>
      <c r="B204" s="1" t="s">
        <v>298</v>
      </c>
      <c r="C204" s="2" t="s">
        <v>226</v>
      </c>
      <c r="D204" s="5">
        <v>144000</v>
      </c>
      <c r="E204" s="16">
        <v>128424</v>
      </c>
      <c r="F204" s="34">
        <v>0.23583436872055685</v>
      </c>
      <c r="G204" s="34">
        <v>0.23563821102356869</v>
      </c>
      <c r="H204" s="34">
        <v>0.25063658858695576</v>
      </c>
      <c r="I204" s="29">
        <v>258.82400000000001</v>
      </c>
      <c r="J204" s="30">
        <f t="shared" si="3"/>
        <v>2.3145128454474806E-2</v>
      </c>
      <c r="K204" s="32">
        <v>56.2</v>
      </c>
      <c r="L204" s="34">
        <v>0.25692088109454514</v>
      </c>
      <c r="M204" s="22">
        <v>0.201709</v>
      </c>
      <c r="N204" s="30">
        <f t="shared" si="2"/>
        <v>-0.27038158346808572</v>
      </c>
    </row>
    <row r="205" spans="1:14" ht="18.399999999999999" x14ac:dyDescent="0.45">
      <c r="A205" s="1">
        <v>1398</v>
      </c>
      <c r="B205" s="1" t="s">
        <v>299</v>
      </c>
      <c r="C205" s="2" t="s">
        <v>227</v>
      </c>
      <c r="D205" s="5">
        <v>161000</v>
      </c>
      <c r="E205" s="16">
        <v>136007</v>
      </c>
      <c r="F205" s="34">
        <v>0.23289808346399482</v>
      </c>
      <c r="G205" s="34">
        <v>0.23280561036446798</v>
      </c>
      <c r="H205" s="34">
        <v>0.2215947038480246</v>
      </c>
      <c r="I205" s="29">
        <v>257.98899999999998</v>
      </c>
      <c r="J205" s="30">
        <f t="shared" si="3"/>
        <v>1.5117235300829757E-2</v>
      </c>
      <c r="K205" s="32">
        <v>57</v>
      </c>
      <c r="L205" s="34">
        <v>0.21710563301764638</v>
      </c>
      <c r="M205" s="22">
        <v>0.195022</v>
      </c>
      <c r="N205" s="30">
        <f t="shared" si="2"/>
        <v>-0.28340784380196837</v>
      </c>
    </row>
    <row r="206" spans="1:14" ht="18.399999999999999" x14ac:dyDescent="0.45">
      <c r="A206" s="1">
        <v>1399</v>
      </c>
      <c r="B206" s="1" t="s">
        <v>288</v>
      </c>
      <c r="C206" s="2" t="s">
        <v>228</v>
      </c>
      <c r="D206" s="5">
        <v>156800</v>
      </c>
      <c r="E206" s="16">
        <v>136773</v>
      </c>
      <c r="F206" s="34">
        <v>0.21554422489849942</v>
      </c>
      <c r="G206" s="34">
        <v>0.21527708836665368</v>
      </c>
      <c r="H206" s="34">
        <v>0.20157487575540897</v>
      </c>
      <c r="I206" s="29">
        <v>256.19200000000001</v>
      </c>
      <c r="J206" s="30">
        <f t="shared" si="3"/>
        <v>3.391742321581015E-3</v>
      </c>
      <c r="K206" s="32">
        <v>58.1</v>
      </c>
      <c r="L206" s="34">
        <v>0.1962295565365966</v>
      </c>
      <c r="M206" s="22">
        <v>0.18226700000000001</v>
      </c>
      <c r="N206" s="30">
        <f t="shared" si="2"/>
        <v>-0.32274410526942227</v>
      </c>
    </row>
    <row r="207" spans="1:14" ht="18.399999999999999" x14ac:dyDescent="0.45">
      <c r="A207" s="1">
        <v>1399</v>
      </c>
      <c r="B207" s="1" t="s">
        <v>289</v>
      </c>
      <c r="C207" s="2" t="s">
        <v>229</v>
      </c>
      <c r="D207" s="5">
        <v>179000</v>
      </c>
      <c r="E207" s="16">
        <v>153801</v>
      </c>
      <c r="F207" s="34">
        <v>0.23919285388917216</v>
      </c>
      <c r="G207" s="34">
        <v>0.23913076142929213</v>
      </c>
      <c r="H207" s="34">
        <v>0.21343161080869336</v>
      </c>
      <c r="I207" s="29">
        <v>255.94200000000001</v>
      </c>
      <c r="J207" s="30">
        <f t="shared" si="3"/>
        <v>2.2359625799326377E-3</v>
      </c>
      <c r="K207" s="32">
        <v>59.6</v>
      </c>
      <c r="L207" s="34">
        <v>0.20354696281527551</v>
      </c>
      <c r="M207" s="22">
        <v>0.14958199999999999</v>
      </c>
      <c r="N207" s="30">
        <f t="shared" si="2"/>
        <v>-0.33006718631504733</v>
      </c>
    </row>
    <row r="208" spans="1:14" ht="18.399999999999999" x14ac:dyDescent="0.45">
      <c r="A208" s="1">
        <v>1399</v>
      </c>
      <c r="B208" s="1" t="s">
        <v>290</v>
      </c>
      <c r="C208" s="2" t="s">
        <v>230</v>
      </c>
      <c r="D208" s="5">
        <v>193400</v>
      </c>
      <c r="E208" s="16">
        <v>158215</v>
      </c>
      <c r="F208" s="34">
        <v>0.2438313662889216</v>
      </c>
      <c r="G208" s="34">
        <v>0.24356655753169434</v>
      </c>
      <c r="H208" s="34">
        <v>0.22743720293783795</v>
      </c>
      <c r="I208" s="29">
        <v>257.28199999999998</v>
      </c>
      <c r="J208" s="30">
        <f t="shared" si="3"/>
        <v>7.2781229568206207E-3</v>
      </c>
      <c r="K208" s="32">
        <v>60.8</v>
      </c>
      <c r="L208" s="34">
        <v>0.22118075513050314</v>
      </c>
      <c r="M208" s="22">
        <v>0.14455000000000001</v>
      </c>
      <c r="N208" s="30">
        <f t="shared" si="2"/>
        <v>-0.33580082204890244</v>
      </c>
    </row>
    <row r="209" spans="1:14" ht="18.399999999999999" x14ac:dyDescent="0.45">
      <c r="A209" s="1">
        <v>1399</v>
      </c>
      <c r="B209" s="1" t="s">
        <v>291</v>
      </c>
      <c r="C209" s="2" t="s">
        <v>231</v>
      </c>
      <c r="D209" s="5">
        <v>217000</v>
      </c>
      <c r="E209" s="16">
        <v>177037</v>
      </c>
      <c r="F209" s="34">
        <v>0.28248492503905565</v>
      </c>
      <c r="G209" s="34">
        <v>0.28198452022330256</v>
      </c>
      <c r="H209" s="34">
        <v>0.27030026894644155</v>
      </c>
      <c r="I209" s="29">
        <v>258.60399999999998</v>
      </c>
      <c r="J209" s="30">
        <f t="shared" si="3"/>
        <v>1.0467910520660206E-2</v>
      </c>
      <c r="K209" s="32">
        <v>64.7</v>
      </c>
      <c r="L209" s="34">
        <v>0.26569064498740702</v>
      </c>
      <c r="M209" s="22">
        <v>0.18429300000000001</v>
      </c>
      <c r="N209" s="30">
        <f t="shared" si="2"/>
        <v>-0.25115900535827684</v>
      </c>
    </row>
    <row r="210" spans="1:14" ht="18.399999999999999" x14ac:dyDescent="0.45">
      <c r="A210" s="1">
        <v>1399</v>
      </c>
      <c r="B210" s="1" t="s">
        <v>292</v>
      </c>
      <c r="C210" s="2" t="s">
        <v>232</v>
      </c>
      <c r="D210" s="5">
        <v>231700</v>
      </c>
      <c r="E210" s="16">
        <v>193734</v>
      </c>
      <c r="F210" s="34">
        <v>0.28641120995434277</v>
      </c>
      <c r="G210" s="34">
        <v>0.28595232860437902</v>
      </c>
      <c r="H210" s="34">
        <v>0.30585548325623535</v>
      </c>
      <c r="I210" s="29">
        <v>259.51100000000002</v>
      </c>
      <c r="J210" s="30">
        <f t="shared" si="3"/>
        <v>1.3247799842260433E-2</v>
      </c>
      <c r="K210" s="32">
        <v>67</v>
      </c>
      <c r="L210" s="34">
        <v>0.31378010618522667</v>
      </c>
      <c r="M210" s="22">
        <v>0.18390000000000001</v>
      </c>
      <c r="N210" s="30">
        <f t="shared" si="2"/>
        <v>-0.2444747300991939</v>
      </c>
    </row>
    <row r="211" spans="1:14" ht="18.399999999999999" x14ac:dyDescent="0.45">
      <c r="A211" s="1">
        <v>1399</v>
      </c>
      <c r="B211" s="1" t="s">
        <v>293</v>
      </c>
      <c r="C211" s="2" t="s">
        <v>233</v>
      </c>
      <c r="D211" s="5">
        <v>272500</v>
      </c>
      <c r="E211" s="16">
        <v>217413</v>
      </c>
      <c r="F211" s="34">
        <v>0.29865401843677575</v>
      </c>
      <c r="G211" s="34">
        <v>0.29834429836820819</v>
      </c>
      <c r="H211" s="34">
        <v>0.34493700396766885</v>
      </c>
      <c r="I211" s="29">
        <v>260.149</v>
      </c>
      <c r="J211" s="30">
        <f t="shared" si="3"/>
        <v>1.4099605507305268E-2</v>
      </c>
      <c r="K211" s="32">
        <v>69.400000000000006</v>
      </c>
      <c r="L211" s="34">
        <v>0.36376941167414145</v>
      </c>
      <c r="M211" s="22">
        <v>0.18374499999999999</v>
      </c>
      <c r="N211" s="30">
        <f t="shared" si="2"/>
        <v>-0.24684135931074919</v>
      </c>
    </row>
    <row r="212" spans="1:14" ht="18.399999999999999" x14ac:dyDescent="0.45">
      <c r="A212" s="1">
        <v>1399</v>
      </c>
      <c r="B212" s="1" t="s">
        <v>294</v>
      </c>
      <c r="C212" s="2" t="s">
        <v>234</v>
      </c>
      <c r="D212" s="5">
        <v>295000</v>
      </c>
      <c r="E212" s="16">
        <v>260091</v>
      </c>
      <c r="F212" s="34">
        <v>0.28972583954968767</v>
      </c>
      <c r="G212" s="34">
        <v>0.28832415422625191</v>
      </c>
      <c r="H212" s="34">
        <v>0.4130897268304804</v>
      </c>
      <c r="I212" s="29">
        <v>260.46199999999999</v>
      </c>
      <c r="J212" s="30">
        <f t="shared" si="3"/>
        <v>1.1946990329736895E-2</v>
      </c>
      <c r="K212" s="32">
        <v>74.3</v>
      </c>
      <c r="L212" s="34">
        <v>0.4652045582234916</v>
      </c>
      <c r="M212" s="22">
        <v>0.19198899999999999</v>
      </c>
      <c r="N212" s="30">
        <f t="shared" si="2"/>
        <v>-0.1861634989524206</v>
      </c>
    </row>
    <row r="213" spans="1:14" ht="18.399999999999999" x14ac:dyDescent="0.45">
      <c r="A213" s="1">
        <v>1399</v>
      </c>
      <c r="B213" s="1" t="s">
        <v>295</v>
      </c>
      <c r="C213" s="2" t="s">
        <v>235</v>
      </c>
      <c r="D213" s="5">
        <v>260000</v>
      </c>
      <c r="E213" s="16">
        <v>258006</v>
      </c>
      <c r="F213" s="34">
        <v>0.28519914340535707</v>
      </c>
      <c r="G213" s="34">
        <v>0.28368404035306527</v>
      </c>
      <c r="H213" s="34">
        <v>0.45727330725495874</v>
      </c>
      <c r="I213" s="29">
        <v>260.92700000000002</v>
      </c>
      <c r="J213" s="30">
        <f t="shared" si="3"/>
        <v>1.138808243762357E-2</v>
      </c>
      <c r="K213" s="32">
        <v>77.8</v>
      </c>
      <c r="L213" s="34">
        <v>0.5295396087406371</v>
      </c>
      <c r="M213" s="22">
        <v>0.19817499999999999</v>
      </c>
      <c r="N213" s="30">
        <f t="shared" si="2"/>
        <v>-0.14442959101480818</v>
      </c>
    </row>
    <row r="214" spans="1:14" ht="18.399999999999999" x14ac:dyDescent="0.45">
      <c r="A214" s="1">
        <v>1399</v>
      </c>
      <c r="B214" s="1" t="s">
        <v>296</v>
      </c>
      <c r="C214" s="2" t="s">
        <v>236</v>
      </c>
      <c r="D214" s="5">
        <v>257200</v>
      </c>
      <c r="E214" s="16">
        <v>256251</v>
      </c>
      <c r="F214" s="34">
        <v>0.28099444423061698</v>
      </c>
      <c r="G214" s="34">
        <v>0.27956414213849001</v>
      </c>
      <c r="H214" s="34">
        <v>0.44170771894140531</v>
      </c>
      <c r="I214" s="29">
        <v>261.56</v>
      </c>
      <c r="J214" s="30">
        <f t="shared" si="3"/>
        <v>1.3001398124731445E-2</v>
      </c>
      <c r="K214" s="32">
        <v>79.3</v>
      </c>
      <c r="L214" s="34">
        <v>0.50727304912340032</v>
      </c>
      <c r="M214" s="22">
        <v>0.197828</v>
      </c>
      <c r="N214" s="30">
        <f t="shared" si="2"/>
        <v>-0.14175163144965275</v>
      </c>
    </row>
    <row r="215" spans="1:14" ht="18.399999999999999" x14ac:dyDescent="0.45">
      <c r="A215" s="1">
        <v>1399</v>
      </c>
      <c r="B215" s="1" t="s">
        <v>297</v>
      </c>
      <c r="C215" s="2" t="s">
        <v>237</v>
      </c>
      <c r="D215" s="5">
        <v>221000</v>
      </c>
      <c r="E215" s="16">
        <v>229234</v>
      </c>
      <c r="F215" s="34">
        <v>0.29360950470469332</v>
      </c>
      <c r="G215" s="34">
        <v>0.29174396822156323</v>
      </c>
      <c r="H215" s="34">
        <v>0.45513051582577818</v>
      </c>
      <c r="I215" s="29">
        <v>262.23099999999999</v>
      </c>
      <c r="J215" s="30">
        <f t="shared" si="3"/>
        <v>1.3699953998461467E-2</v>
      </c>
      <c r="K215" s="32">
        <v>80.8</v>
      </c>
      <c r="L215" s="34">
        <v>0.52193616692871558</v>
      </c>
      <c r="M215" s="22">
        <v>0.19922300000000001</v>
      </c>
      <c r="N215" s="30">
        <f t="shared" si="2"/>
        <v>-0.15157192895932362</v>
      </c>
    </row>
    <row r="216" spans="1:14" ht="18.399999999999999" x14ac:dyDescent="0.45">
      <c r="A216" s="1">
        <v>1399</v>
      </c>
      <c r="B216" s="1" t="s">
        <v>298</v>
      </c>
      <c r="C216" s="2" t="s">
        <v>238</v>
      </c>
      <c r="D216" s="5">
        <v>260000</v>
      </c>
      <c r="E216" s="16">
        <v>235347</v>
      </c>
      <c r="F216" s="34">
        <v>0.2812197651143501</v>
      </c>
      <c r="G216" s="34">
        <v>0.27919790719337939</v>
      </c>
      <c r="H216" s="34">
        <v>0.47209058346808574</v>
      </c>
      <c r="I216" s="29">
        <v>263.161</v>
      </c>
      <c r="J216" s="30">
        <f t="shared" si="3"/>
        <v>1.6756560442617419E-2</v>
      </c>
      <c r="K216" s="32">
        <v>82.7</v>
      </c>
      <c r="L216" s="34">
        <v>0.55154375485309748</v>
      </c>
      <c r="M216" s="22">
        <v>0.20935899999999999</v>
      </c>
      <c r="N216" s="30">
        <f t="shared" si="2"/>
        <v>-0.13561241465405746</v>
      </c>
    </row>
    <row r="217" spans="1:14" ht="18.399999999999999" x14ac:dyDescent="0.45">
      <c r="A217" s="1">
        <v>1399</v>
      </c>
      <c r="B217" s="1" t="s">
        <v>299</v>
      </c>
      <c r="C217" s="2" t="s">
        <v>239</v>
      </c>
      <c r="D217" s="5">
        <v>252000</v>
      </c>
      <c r="E217" s="16">
        <v>235188</v>
      </c>
      <c r="F217" s="34">
        <v>0.29774551085354262</v>
      </c>
      <c r="G217" s="34">
        <v>0.29588642498029172</v>
      </c>
      <c r="H217" s="34">
        <v>0.4784298438019684</v>
      </c>
      <c r="I217" s="29">
        <v>264.79300000000001</v>
      </c>
      <c r="J217" s="30">
        <f t="shared" si="3"/>
        <v>2.6373217462760223E-2</v>
      </c>
      <c r="K217" s="32">
        <v>84.2</v>
      </c>
      <c r="L217" s="34">
        <v>0.55246674558379139</v>
      </c>
      <c r="M217" s="22">
        <v>0.20793800000000001</v>
      </c>
      <c r="N217" s="30">
        <f t="shared" si="2"/>
        <v>-0.13289870058622827</v>
      </c>
    </row>
    <row r="218" spans="1:14" ht="18.399999999999999" x14ac:dyDescent="0.45">
      <c r="A218" s="1">
        <v>1400</v>
      </c>
      <c r="B218" s="1" t="s">
        <v>288</v>
      </c>
      <c r="C218" s="2" t="s">
        <v>240</v>
      </c>
      <c r="D218" s="5">
        <v>242000</v>
      </c>
      <c r="E218" s="16">
        <v>232288</v>
      </c>
      <c r="F218" s="34">
        <v>0.31287688950951237</v>
      </c>
      <c r="G218" s="34">
        <v>0.31018699906055192</v>
      </c>
      <c r="H218" s="34">
        <v>0.50501110526942228</v>
      </c>
      <c r="I218" s="29">
        <v>266.83199999999999</v>
      </c>
      <c r="J218" s="30">
        <f t="shared" si="3"/>
        <v>4.1531351486385093E-2</v>
      </c>
      <c r="K218" s="32">
        <v>87.4</v>
      </c>
      <c r="L218" s="34">
        <v>0.576887418059298</v>
      </c>
      <c r="M218" s="22">
        <v>0.21698200000000001</v>
      </c>
      <c r="N218" s="30">
        <f t="shared" ref="N218:N269" si="4">(H230-M218)*(-1)</f>
        <v>-0.10861646089210425</v>
      </c>
    </row>
    <row r="219" spans="1:14" ht="18.399999999999999" x14ac:dyDescent="0.45">
      <c r="A219" s="1">
        <v>1400</v>
      </c>
      <c r="B219" s="1" t="s">
        <v>289</v>
      </c>
      <c r="C219" s="2" t="s">
        <v>241</v>
      </c>
      <c r="D219" s="5">
        <v>230000</v>
      </c>
      <c r="E219" s="16">
        <v>206683</v>
      </c>
      <c r="F219" s="34">
        <v>0.2915603304675386</v>
      </c>
      <c r="G219" s="34">
        <v>0.28901045900546424</v>
      </c>
      <c r="H219" s="34">
        <v>0.47964918631504733</v>
      </c>
      <c r="I219" s="29">
        <v>268.55099999999999</v>
      </c>
      <c r="J219" s="30">
        <f t="shared" si="3"/>
        <v>4.9265067866938628E-2</v>
      </c>
      <c r="K219" s="32">
        <v>88.2</v>
      </c>
      <c r="L219" s="34">
        <v>0.54984683317045868</v>
      </c>
      <c r="M219" s="22">
        <v>0.22042600000000001</v>
      </c>
      <c r="N219" s="30">
        <f t="shared" si="4"/>
        <v>-0.13807086927434931</v>
      </c>
    </row>
    <row r="220" spans="1:14" ht="18.399999999999999" x14ac:dyDescent="0.45">
      <c r="A220" s="1">
        <v>1400</v>
      </c>
      <c r="B220" s="1" t="s">
        <v>290</v>
      </c>
      <c r="C220" s="2" t="s">
        <v>242</v>
      </c>
      <c r="D220" s="5">
        <v>241300</v>
      </c>
      <c r="E220" s="16">
        <v>209645</v>
      </c>
      <c r="F220" s="34">
        <v>0.28569911843438833</v>
      </c>
      <c r="G220" s="34">
        <v>0.28342355280793952</v>
      </c>
      <c r="H220" s="34">
        <v>0.48035082204890245</v>
      </c>
      <c r="I220" s="29">
        <v>270.98099999999999</v>
      </c>
      <c r="J220" s="30">
        <f t="shared" si="3"/>
        <v>5.324507738590345E-2</v>
      </c>
      <c r="K220" s="32">
        <v>90</v>
      </c>
      <c r="L220" s="34">
        <v>0.55546482850729517</v>
      </c>
      <c r="M220" s="22">
        <v>0.21528800000000001</v>
      </c>
      <c r="N220" s="30">
        <f t="shared" si="4"/>
        <v>-0.25014091947477701</v>
      </c>
    </row>
    <row r="221" spans="1:14" ht="18.399999999999999" x14ac:dyDescent="0.45">
      <c r="A221" s="1">
        <v>1400</v>
      </c>
      <c r="B221" s="1" t="s">
        <v>291</v>
      </c>
      <c r="C221" s="2" t="s">
        <v>243</v>
      </c>
      <c r="D221" s="5">
        <v>246500</v>
      </c>
      <c r="E221" s="16">
        <v>224022</v>
      </c>
      <c r="F221" s="34">
        <v>0.24301491230365826</v>
      </c>
      <c r="G221" s="34">
        <v>0.24085289223570952</v>
      </c>
      <c r="H221" s="34">
        <v>0.43545200535827688</v>
      </c>
      <c r="I221" s="29">
        <v>272.26499999999999</v>
      </c>
      <c r="J221" s="30">
        <f t="shared" si="3"/>
        <v>5.2825942367480838E-2</v>
      </c>
      <c r="K221" s="32">
        <v>92.9</v>
      </c>
      <c r="L221" s="34">
        <v>0.50855914102773425</v>
      </c>
      <c r="M221" s="22">
        <v>0.213894</v>
      </c>
      <c r="N221" s="30">
        <f t="shared" si="4"/>
        <v>-0.26538134972804717</v>
      </c>
    </row>
    <row r="222" spans="1:14" ht="18.399999999999999" x14ac:dyDescent="0.45">
      <c r="A222" s="1">
        <v>1400</v>
      </c>
      <c r="B222" s="1" t="s">
        <v>292</v>
      </c>
      <c r="C222" s="2" t="s">
        <v>244</v>
      </c>
      <c r="D222" s="5">
        <v>275000</v>
      </c>
      <c r="E222" s="16">
        <v>230718</v>
      </c>
      <c r="F222" s="34">
        <v>0.24816961681506114</v>
      </c>
      <c r="G222" s="34">
        <v>0.24586884447882595</v>
      </c>
      <c r="H222" s="34">
        <v>0.42837473009919391</v>
      </c>
      <c r="I222" s="29">
        <v>273.012</v>
      </c>
      <c r="J222" s="30">
        <f t="shared" si="3"/>
        <v>5.2024769662943005E-2</v>
      </c>
      <c r="K222" s="32">
        <v>95.7</v>
      </c>
      <c r="L222" s="34">
        <v>0.49830053144878578</v>
      </c>
      <c r="M222" s="22">
        <v>0.207955</v>
      </c>
      <c r="N222" s="30">
        <f t="shared" si="4"/>
        <v>-0.26016038364415239</v>
      </c>
    </row>
    <row r="223" spans="1:14" ht="18.399999999999999" x14ac:dyDescent="0.45">
      <c r="A223" s="1">
        <v>1400</v>
      </c>
      <c r="B223" s="1" t="s">
        <v>293</v>
      </c>
      <c r="C223" s="2" t="s">
        <v>245</v>
      </c>
      <c r="D223" s="5">
        <v>275300</v>
      </c>
      <c r="E223" s="16">
        <v>231991</v>
      </c>
      <c r="F223" s="34">
        <v>0.25776356794659661</v>
      </c>
      <c r="G223" s="34">
        <v>0.25546650363398299</v>
      </c>
      <c r="H223" s="34">
        <v>0.43058635931074918</v>
      </c>
      <c r="I223" s="29">
        <v>274.13799999999998</v>
      </c>
      <c r="J223" s="30">
        <f t="shared" si="3"/>
        <v>5.3773030071228245E-2</v>
      </c>
      <c r="K223" s="32">
        <v>99.3</v>
      </c>
      <c r="L223" s="34">
        <v>0.49791712049690773</v>
      </c>
      <c r="M223" s="22">
        <v>0.23219999999999999</v>
      </c>
      <c r="N223" s="30">
        <f t="shared" si="4"/>
        <v>-0.21397785333319633</v>
      </c>
    </row>
    <row r="224" spans="1:14" ht="18.399999999999999" x14ac:dyDescent="0.45">
      <c r="A224" s="1">
        <v>1400</v>
      </c>
      <c r="B224" s="1" t="s">
        <v>294</v>
      </c>
      <c r="C224" s="2" t="s">
        <v>246</v>
      </c>
      <c r="D224" s="5">
        <v>274500</v>
      </c>
      <c r="E224" s="16">
        <v>233485</v>
      </c>
      <c r="F224" s="34">
        <v>0.2526942243702443</v>
      </c>
      <c r="G224" s="34">
        <v>0.2512262753326438</v>
      </c>
      <c r="H224" s="34">
        <v>0.37815249895242059</v>
      </c>
      <c r="I224" s="29">
        <v>276.72399999999999</v>
      </c>
      <c r="J224" s="30">
        <f t="shared" si="3"/>
        <v>6.2435211278420555E-2</v>
      </c>
      <c r="K224" s="32">
        <v>102.5</v>
      </c>
      <c r="L224" s="34">
        <v>0.42468762118466119</v>
      </c>
      <c r="M224" s="22">
        <v>0.234267</v>
      </c>
      <c r="N224" s="30">
        <f t="shared" si="4"/>
        <v>-0.20474018601620636</v>
      </c>
    </row>
    <row r="225" spans="1:14" ht="18.399999999999999" x14ac:dyDescent="0.45">
      <c r="A225" s="1">
        <v>1400</v>
      </c>
      <c r="B225" s="1" t="s">
        <v>295</v>
      </c>
      <c r="C225" s="2" t="s">
        <v>247</v>
      </c>
      <c r="D225" s="5">
        <v>283800</v>
      </c>
      <c r="E225" s="16">
        <v>236041</v>
      </c>
      <c r="F225" s="34">
        <v>0.25944497893729318</v>
      </c>
      <c r="G225" s="34">
        <v>0.25804350815838561</v>
      </c>
      <c r="H225" s="34">
        <v>0.34260459101480817</v>
      </c>
      <c r="I225" s="29">
        <v>278.384344</v>
      </c>
      <c r="J225" s="30">
        <f t="shared" si="3"/>
        <v>6.6905088396371326E-2</v>
      </c>
      <c r="K225" s="32">
        <v>104.5</v>
      </c>
      <c r="L225" s="34">
        <v>0.37385025556925572</v>
      </c>
      <c r="M225" s="22">
        <v>0.24172399999999999</v>
      </c>
      <c r="N225" s="30">
        <f t="shared" si="4"/>
        <v>-0.19995582599713696</v>
      </c>
    </row>
    <row r="226" spans="1:14" ht="18.399999999999999" x14ac:dyDescent="0.45">
      <c r="A226" s="1">
        <v>1400</v>
      </c>
      <c r="B226" s="1" t="s">
        <v>296</v>
      </c>
      <c r="C226" s="2" t="s">
        <v>248</v>
      </c>
      <c r="D226" s="5">
        <v>302800</v>
      </c>
      <c r="E226" s="16">
        <v>244820</v>
      </c>
      <c r="F226" s="34">
        <v>0.26494338387747546</v>
      </c>
      <c r="G226" s="34">
        <v>0.26346860503570979</v>
      </c>
      <c r="H226" s="34">
        <v>0.33957963144965275</v>
      </c>
      <c r="I226" s="29">
        <v>280.19200000000001</v>
      </c>
      <c r="J226" s="30">
        <f t="shared" si="3"/>
        <v>7.1234133659580978E-2</v>
      </c>
      <c r="K226" s="32">
        <v>106.3</v>
      </c>
      <c r="L226" s="34">
        <v>0.36961335541806278</v>
      </c>
      <c r="M226" s="22">
        <v>0.249975</v>
      </c>
      <c r="N226" s="30">
        <f t="shared" si="4"/>
        <v>-0.20063152980502508</v>
      </c>
    </row>
    <row r="227" spans="1:14" ht="18.399999999999999" x14ac:dyDescent="0.45">
      <c r="A227" s="1">
        <v>1400</v>
      </c>
      <c r="B227" s="1" t="s">
        <v>297</v>
      </c>
      <c r="C227" s="2" t="s">
        <v>249</v>
      </c>
      <c r="D227" s="5">
        <v>279500</v>
      </c>
      <c r="E227" s="16">
        <v>247737</v>
      </c>
      <c r="F227" s="34">
        <v>0.28193345422014315</v>
      </c>
      <c r="G227" s="34">
        <v>0.28120347335258145</v>
      </c>
      <c r="H227" s="34">
        <v>0.35079492895932363</v>
      </c>
      <c r="I227" s="29">
        <v>281.93299999999999</v>
      </c>
      <c r="J227" s="30">
        <f t="shared" si="3"/>
        <v>7.5132230743123474E-2</v>
      </c>
      <c r="K227" s="32">
        <v>109.1</v>
      </c>
      <c r="L227" s="34">
        <v>0.37419044547280778</v>
      </c>
      <c r="M227" s="22">
        <v>0.23216899999999999</v>
      </c>
      <c r="N227" s="30">
        <f t="shared" si="4"/>
        <v>-0.23350240452757773</v>
      </c>
    </row>
    <row r="228" spans="1:14" ht="18.399999999999999" x14ac:dyDescent="0.45">
      <c r="A228" s="1">
        <v>1400</v>
      </c>
      <c r="B228" s="1" t="s">
        <v>298</v>
      </c>
      <c r="C228" s="2" t="s">
        <v>250</v>
      </c>
      <c r="D228" s="5">
        <v>262000</v>
      </c>
      <c r="E228" s="16">
        <v>243170</v>
      </c>
      <c r="F228" s="34">
        <v>0.28247060104302391</v>
      </c>
      <c r="G228" s="34">
        <v>0.28160847917562476</v>
      </c>
      <c r="H228" s="34">
        <v>0.34497141465405745</v>
      </c>
      <c r="I228" s="29">
        <v>284.18200000000002</v>
      </c>
      <c r="J228" s="30">
        <f t="shared" si="3"/>
        <v>7.9878857429482419E-2</v>
      </c>
      <c r="K228" s="32">
        <v>111.2</v>
      </c>
      <c r="L228" s="34">
        <v>0.36965293658842313</v>
      </c>
      <c r="M228" s="22">
        <v>0.231097</v>
      </c>
      <c r="N228" s="30">
        <f t="shared" si="4"/>
        <v>-0.25513039014227223</v>
      </c>
    </row>
    <row r="229" spans="1:14" ht="18.399999999999999" x14ac:dyDescent="0.45">
      <c r="A229" s="1">
        <v>1400</v>
      </c>
      <c r="B229" s="1" t="s">
        <v>299</v>
      </c>
      <c r="C229" s="2" t="s">
        <v>251</v>
      </c>
      <c r="D229" s="5">
        <v>263000</v>
      </c>
      <c r="E229" s="16">
        <v>238326</v>
      </c>
      <c r="F229" s="34">
        <v>0.27161646369012504</v>
      </c>
      <c r="G229" s="34">
        <v>0.27048640066456997</v>
      </c>
      <c r="H229" s="34">
        <v>0.34083670058622828</v>
      </c>
      <c r="I229" s="29">
        <v>287.70800000000003</v>
      </c>
      <c r="J229" s="30">
        <f t="shared" si="3"/>
        <v>8.6539296733675108E-2</v>
      </c>
      <c r="K229" s="32">
        <v>112.9</v>
      </c>
      <c r="L229" s="34">
        <v>0.37047366519608377</v>
      </c>
      <c r="M229" s="22">
        <v>0.22122800000000001</v>
      </c>
      <c r="N229" s="30">
        <f t="shared" si="4"/>
        <v>-0.30995593704107349</v>
      </c>
    </row>
    <row r="230" spans="1:14" ht="18.399999999999999" x14ac:dyDescent="0.45">
      <c r="A230" s="1">
        <v>1401</v>
      </c>
      <c r="B230" s="1" t="s">
        <v>288</v>
      </c>
      <c r="C230" s="2" t="s">
        <v>252</v>
      </c>
      <c r="D230" s="5">
        <v>277500</v>
      </c>
      <c r="E230" s="16">
        <v>245709</v>
      </c>
      <c r="F230" s="34">
        <v>0.27694407803709992</v>
      </c>
      <c r="G230" s="34">
        <v>0.27645036846587262</v>
      </c>
      <c r="H230" s="34">
        <v>0.32559846089210426</v>
      </c>
      <c r="I230" s="29">
        <v>288.66300000000001</v>
      </c>
      <c r="J230" s="30">
        <f t="shared" si="3"/>
        <v>8.1815524374887705E-2</v>
      </c>
      <c r="K230" s="32">
        <v>115.9</v>
      </c>
      <c r="L230" s="34">
        <v>0.35436841756960208</v>
      </c>
      <c r="M230" s="22">
        <v>0.218471</v>
      </c>
      <c r="N230" s="30">
        <f t="shared" si="4"/>
        <v>-0.3269276880282892</v>
      </c>
    </row>
    <row r="231" spans="1:14" ht="18.399999999999999" x14ac:dyDescent="0.45">
      <c r="A231" s="1">
        <v>1401</v>
      </c>
      <c r="B231" s="1" t="s">
        <v>289</v>
      </c>
      <c r="C231" s="2" t="s">
        <v>253</v>
      </c>
      <c r="D231" s="5">
        <v>304500</v>
      </c>
      <c r="E231" s="16">
        <v>246397</v>
      </c>
      <c r="F231" s="34">
        <v>0.29296528439503022</v>
      </c>
      <c r="G231" s="34">
        <v>0.2923527643086416</v>
      </c>
      <c r="H231" s="34">
        <v>0.35849686927434932</v>
      </c>
      <c r="I231" s="29">
        <v>291.47399999999999</v>
      </c>
      <c r="J231" s="30">
        <f t="shared" si="3"/>
        <v>8.5358088407788468E-2</v>
      </c>
      <c r="K231" s="32">
        <v>119.8</v>
      </c>
      <c r="L231" s="34">
        <v>0.39722366449468238</v>
      </c>
      <c r="M231" s="22">
        <v>0.22220300000000001</v>
      </c>
      <c r="N231" s="30">
        <f t="shared" si="4"/>
        <v>-0.31407445715140514</v>
      </c>
    </row>
    <row r="232" spans="1:14" ht="18.399999999999999" x14ac:dyDescent="0.45">
      <c r="A232" s="1">
        <v>1401</v>
      </c>
      <c r="B232" s="1" t="s">
        <v>290</v>
      </c>
      <c r="C232" s="2" t="s">
        <v>254</v>
      </c>
      <c r="D232" s="5">
        <v>318500</v>
      </c>
      <c r="E232" s="16">
        <v>255255</v>
      </c>
      <c r="F232" s="34">
        <v>0.30447909763427022</v>
      </c>
      <c r="G232" s="34">
        <v>0.30350238731944101</v>
      </c>
      <c r="H232" s="34">
        <v>0.46542891947477699</v>
      </c>
      <c r="I232" s="29">
        <v>295.32799999999997</v>
      </c>
      <c r="J232" s="30">
        <f t="shared" si="3"/>
        <v>8.9847627693454557E-2</v>
      </c>
      <c r="K232" s="32">
        <v>131.80000000000001</v>
      </c>
      <c r="L232" s="34">
        <v>0.55924644239148136</v>
      </c>
      <c r="M232" s="22">
        <v>0.226244</v>
      </c>
      <c r="N232" s="30">
        <f t="shared" si="4"/>
        <v>-0.19883885470746643</v>
      </c>
    </row>
    <row r="233" spans="1:14" ht="18.399999999999999" x14ac:dyDescent="0.45">
      <c r="A233" s="1">
        <v>1401</v>
      </c>
      <c r="B233" s="1" t="s">
        <v>291</v>
      </c>
      <c r="C233" s="2" t="s">
        <v>255</v>
      </c>
      <c r="D233" s="5">
        <v>319000</v>
      </c>
      <c r="E233" s="16">
        <v>263724</v>
      </c>
      <c r="F233" s="34">
        <v>0.29642953587893117</v>
      </c>
      <c r="G233" s="34">
        <v>0.29438325931373754</v>
      </c>
      <c r="H233" s="34">
        <v>0.4792753497280472</v>
      </c>
      <c r="I233" s="29">
        <v>295.62</v>
      </c>
      <c r="J233" s="30">
        <f t="shared" si="3"/>
        <v>8.5780397774227302E-2</v>
      </c>
      <c r="K233" s="32">
        <v>137.5</v>
      </c>
      <c r="L233" s="34">
        <v>0.58730732794678919</v>
      </c>
      <c r="M233" s="22">
        <v>0.22522800000000001</v>
      </c>
      <c r="N233" s="30">
        <f t="shared" si="4"/>
        <v>-0.1690018405190348</v>
      </c>
    </row>
    <row r="234" spans="1:14" ht="18.399999999999999" x14ac:dyDescent="0.45">
      <c r="A234" s="1">
        <v>1401</v>
      </c>
      <c r="B234" s="1" t="s">
        <v>292</v>
      </c>
      <c r="C234" s="2" t="s">
        <v>256</v>
      </c>
      <c r="D234" s="5">
        <v>290000</v>
      </c>
      <c r="E234" s="16">
        <v>266029</v>
      </c>
      <c r="F234" s="34">
        <v>0.30700703044066613</v>
      </c>
      <c r="G234" s="34">
        <v>0.30521024301460897</v>
      </c>
      <c r="H234" s="34">
        <v>0.46811538364415239</v>
      </c>
      <c r="I234" s="29">
        <v>296.76100000000002</v>
      </c>
      <c r="J234" s="30">
        <f t="shared" si="3"/>
        <v>8.6988850306946253E-2</v>
      </c>
      <c r="K234" s="32">
        <v>140.5</v>
      </c>
      <c r="L234" s="34">
        <v>0.56196300650043862</v>
      </c>
      <c r="M234" s="22">
        <v>0.22065000000000001</v>
      </c>
      <c r="N234" s="30">
        <f t="shared" si="4"/>
        <v>-0.17735932596057891</v>
      </c>
    </row>
    <row r="235" spans="1:14" ht="18.399999999999999" x14ac:dyDescent="0.45">
      <c r="A235" s="1">
        <v>1401</v>
      </c>
      <c r="B235" s="1" t="s">
        <v>293</v>
      </c>
      <c r="C235" s="2" t="s">
        <v>257</v>
      </c>
      <c r="D235" s="5">
        <v>317600</v>
      </c>
      <c r="E235" s="16">
        <v>270511</v>
      </c>
      <c r="F235" s="34">
        <v>0.30477970251947484</v>
      </c>
      <c r="G235" s="34">
        <v>0.30291394108394681</v>
      </c>
      <c r="H235" s="34">
        <v>0.44617785333319632</v>
      </c>
      <c r="I235" s="29">
        <v>298.06200000000001</v>
      </c>
      <c r="J235" s="30">
        <f t="shared" si="3"/>
        <v>8.726991515222271E-2</v>
      </c>
      <c r="K235" s="32">
        <v>143.69999999999999</v>
      </c>
      <c r="L235" s="34">
        <v>0.52831643847832566</v>
      </c>
      <c r="M235" s="22">
        <v>0.221271</v>
      </c>
      <c r="N235" s="30">
        <f t="shared" si="4"/>
        <v>-0.17513751036375919</v>
      </c>
    </row>
    <row r="236" spans="1:14" ht="18.399999999999999" x14ac:dyDescent="0.45">
      <c r="A236" s="1">
        <v>1401</v>
      </c>
      <c r="B236" s="1" t="s">
        <v>294</v>
      </c>
      <c r="C236" s="2" t="s">
        <v>258</v>
      </c>
      <c r="D236" s="5">
        <v>328400</v>
      </c>
      <c r="E236" s="16">
        <v>272536</v>
      </c>
      <c r="F236" s="34">
        <v>0.31570639269313178</v>
      </c>
      <c r="G236" s="34">
        <v>0.31401191361552377</v>
      </c>
      <c r="H236" s="34">
        <v>0.43900718601620636</v>
      </c>
      <c r="I236" s="29">
        <v>297.98700000000002</v>
      </c>
      <c r="J236" s="30">
        <f t="shared" si="3"/>
        <v>7.683829375117468E-2</v>
      </c>
      <c r="K236" s="32">
        <v>147.4</v>
      </c>
      <c r="L236" s="34">
        <v>0.51068082781197888</v>
      </c>
      <c r="M236" s="22">
        <v>0.23484099999999999</v>
      </c>
      <c r="N236" s="30">
        <f t="shared" si="4"/>
        <v>-0.15826131249678507</v>
      </c>
    </row>
    <row r="237" spans="1:14" ht="18.399999999999999" x14ac:dyDescent="0.45">
      <c r="A237" s="1">
        <v>1401</v>
      </c>
      <c r="B237" s="1" t="s">
        <v>295</v>
      </c>
      <c r="C237" s="2" t="s">
        <v>259</v>
      </c>
      <c r="D237" s="5">
        <v>354700</v>
      </c>
      <c r="E237" s="16">
        <v>279346</v>
      </c>
      <c r="F237" s="34">
        <v>0.34362706621706818</v>
      </c>
      <c r="G237" s="34">
        <v>0.34228395337913126</v>
      </c>
      <c r="H237" s="34">
        <v>0.44167982599713695</v>
      </c>
      <c r="I237" s="29">
        <v>298.59800000000001</v>
      </c>
      <c r="J237" s="30">
        <f t="shared" si="3"/>
        <v>7.2610606291853896E-2</v>
      </c>
      <c r="K237" s="32">
        <v>150.69999999999999</v>
      </c>
      <c r="L237" s="34">
        <v>0.49821141654630596</v>
      </c>
      <c r="M237" s="22">
        <v>0.25445200000000001</v>
      </c>
      <c r="N237" s="30">
        <f t="shared" si="4"/>
        <v>-0.13894004070325905</v>
      </c>
    </row>
    <row r="238" spans="1:14" ht="18.399999999999999" x14ac:dyDescent="0.45">
      <c r="A238" s="1">
        <v>1401</v>
      </c>
      <c r="B238" s="1" t="s">
        <v>296</v>
      </c>
      <c r="C238" s="2" t="s">
        <v>260</v>
      </c>
      <c r="D238" s="5">
        <v>396000</v>
      </c>
      <c r="E238" s="16">
        <v>288297</v>
      </c>
      <c r="F238" s="34">
        <v>0.37065207375205433</v>
      </c>
      <c r="G238" s="34">
        <v>0.36963430287565074</v>
      </c>
      <c r="H238" s="34">
        <v>0.45060652980502508</v>
      </c>
      <c r="I238" s="29">
        <v>298.99</v>
      </c>
      <c r="J238" s="30">
        <f t="shared" si="3"/>
        <v>6.70897099132024E-2</v>
      </c>
      <c r="K238" s="32">
        <v>154.1</v>
      </c>
      <c r="L238" s="34">
        <v>0.49618958239809419</v>
      </c>
      <c r="M238" s="22">
        <v>0.27589200000000003</v>
      </c>
      <c r="N238" s="30">
        <f t="shared" si="4"/>
        <v>-0.12547679700426273</v>
      </c>
    </row>
    <row r="239" spans="1:14" ht="18.399999999999999" x14ac:dyDescent="0.45">
      <c r="A239" s="1">
        <v>1401</v>
      </c>
      <c r="B239" s="1" t="s">
        <v>297</v>
      </c>
      <c r="C239" s="2" t="s">
        <v>261</v>
      </c>
      <c r="D239" s="5">
        <v>430500</v>
      </c>
      <c r="E239" s="16">
        <v>285000</v>
      </c>
      <c r="F239" s="34">
        <v>0.35145101428994197</v>
      </c>
      <c r="G239" s="34">
        <v>0.35022077972164939</v>
      </c>
      <c r="H239" s="34">
        <v>0.46567140452757771</v>
      </c>
      <c r="I239" s="29">
        <v>300.536</v>
      </c>
      <c r="J239" s="30">
        <f t="shared" si="3"/>
        <v>6.5983762099505849E-2</v>
      </c>
      <c r="K239" s="32">
        <v>159.9</v>
      </c>
      <c r="L239" s="34">
        <v>0.53207637659789331</v>
      </c>
      <c r="M239" s="22">
        <v>0.276563</v>
      </c>
      <c r="N239" s="30">
        <f t="shared" si="4"/>
        <v>-0.11025519459005878</v>
      </c>
    </row>
    <row r="240" spans="1:14" ht="18.399999999999999" x14ac:dyDescent="0.45">
      <c r="A240" s="1">
        <v>1401</v>
      </c>
      <c r="B240" s="1" t="s">
        <v>298</v>
      </c>
      <c r="C240" s="2" t="s">
        <v>262</v>
      </c>
      <c r="D240" s="5">
        <v>490000</v>
      </c>
      <c r="E240" s="17">
        <v>285000</v>
      </c>
      <c r="F240" s="34">
        <v>0.37391021576672701</v>
      </c>
      <c r="G240" s="34">
        <v>0.37288788736802814</v>
      </c>
      <c r="H240" s="34">
        <v>0.48622739014227223</v>
      </c>
      <c r="I240" s="29">
        <v>302.94028800000001</v>
      </c>
      <c r="J240" s="30">
        <f t="shared" si="3"/>
        <v>6.6008008952009645E-2</v>
      </c>
      <c r="K240" s="32">
        <v>165.3</v>
      </c>
      <c r="L240" s="34">
        <v>0.55025268265055016</v>
      </c>
      <c r="M240" s="22">
        <v>0.27427400000000002</v>
      </c>
      <c r="N240" s="30">
        <f t="shared" si="4"/>
        <v>-8.7399138370306606E-2</v>
      </c>
    </row>
    <row r="241" spans="1:14" ht="18.399999999999999" x14ac:dyDescent="0.45">
      <c r="A241" s="1">
        <v>1401</v>
      </c>
      <c r="B241" s="1" t="s">
        <v>299</v>
      </c>
      <c r="C241" s="2" t="s">
        <v>263</v>
      </c>
      <c r="D241" s="5">
        <v>494000</v>
      </c>
      <c r="E241" s="16">
        <v>366000</v>
      </c>
      <c r="F241" s="34">
        <v>0.39098184392278823</v>
      </c>
      <c r="G241" s="34">
        <v>0.38977586632053601</v>
      </c>
      <c r="H241" s="34">
        <v>0.53118393704107347</v>
      </c>
      <c r="I241" s="29">
        <v>305.36381030400003</v>
      </c>
      <c r="J241" s="30">
        <f t="shared" si="3"/>
        <v>6.1367116326275228E-2</v>
      </c>
      <c r="K241" s="32">
        <v>172.9</v>
      </c>
      <c r="L241" s="34">
        <v>0.61008019993024531</v>
      </c>
      <c r="M241" s="22">
        <v>0.25678099999999998</v>
      </c>
      <c r="N241" s="30">
        <f t="shared" si="4"/>
        <v>-7.141497499212307E-2</v>
      </c>
    </row>
    <row r="242" spans="1:14" ht="18.399999999999999" x14ac:dyDescent="0.45">
      <c r="A242" s="1">
        <v>1402</v>
      </c>
      <c r="B242" s="1" t="s">
        <v>288</v>
      </c>
      <c r="C242" s="2" t="s">
        <v>264</v>
      </c>
      <c r="D242" s="5">
        <v>514000</v>
      </c>
      <c r="E242" s="16">
        <v>385916</v>
      </c>
      <c r="F242" s="34">
        <v>0.39012166628095601</v>
      </c>
      <c r="G242" s="34">
        <v>0.38843749354864487</v>
      </c>
      <c r="H242" s="34">
        <v>0.54539868802828917</v>
      </c>
      <c r="I242" s="29">
        <v>302.91800000000001</v>
      </c>
      <c r="J242" s="30">
        <f t="shared" ref="J242:J261" si="5">I242/I230-1</f>
        <v>4.9382844354835864E-2</v>
      </c>
      <c r="K242" s="32">
        <v>179.1</v>
      </c>
      <c r="L242" s="34">
        <v>0.63199351559039596</v>
      </c>
      <c r="M242" s="22">
        <v>0.258853</v>
      </c>
      <c r="N242" s="30">
        <f t="shared" si="4"/>
        <v>-5.616829056491357E-2</v>
      </c>
    </row>
    <row r="243" spans="1:14" ht="18.399999999999999" x14ac:dyDescent="0.45">
      <c r="A243" s="1">
        <v>1402</v>
      </c>
      <c r="B243" s="1" t="s">
        <v>289</v>
      </c>
      <c r="C243" s="2" t="s">
        <v>265</v>
      </c>
      <c r="D243" s="5">
        <v>518000</v>
      </c>
      <c r="E243" s="16">
        <v>385025</v>
      </c>
      <c r="F243" s="34">
        <v>0.38429790207257725</v>
      </c>
      <c r="G243" s="34">
        <v>0.38242378533229643</v>
      </c>
      <c r="H243" s="34">
        <v>0.53627745715140518</v>
      </c>
      <c r="I243" s="29">
        <v>303.29399999999998</v>
      </c>
      <c r="J243" s="30">
        <f t="shared" si="5"/>
        <v>4.0552502109965083E-2</v>
      </c>
      <c r="K243" s="32">
        <v>184.1</v>
      </c>
      <c r="L243" s="34">
        <v>0.61959633724545371</v>
      </c>
      <c r="M243" s="22">
        <v>0.26121699999999998</v>
      </c>
      <c r="N243" s="30">
        <f t="shared" si="4"/>
        <v>-5.4567026476767422E-2</v>
      </c>
    </row>
    <row r="244" spans="1:14" ht="18.399999999999999" x14ac:dyDescent="0.45">
      <c r="A244" s="1">
        <v>1402</v>
      </c>
      <c r="B244" s="1" t="s">
        <v>290</v>
      </c>
      <c r="C244" s="2" t="s">
        <v>266</v>
      </c>
      <c r="D244" s="5">
        <v>487500</v>
      </c>
      <c r="E244" s="16">
        <v>375399</v>
      </c>
      <c r="F244" s="34">
        <v>0.38971262999750761</v>
      </c>
      <c r="G244" s="34">
        <v>0.38794504720178791</v>
      </c>
      <c r="H244" s="34">
        <v>0.42508285470746643</v>
      </c>
      <c r="I244" s="29">
        <v>303.84100000000001</v>
      </c>
      <c r="J244" s="30">
        <f t="shared" si="5"/>
        <v>2.8825576985588963E-2</v>
      </c>
      <c r="K244" s="32">
        <v>187.9</v>
      </c>
      <c r="L244" s="34">
        <v>0.44307070551527855</v>
      </c>
      <c r="M244" s="22">
        <v>0.25101400000000001</v>
      </c>
      <c r="N244" s="30">
        <f t="shared" si="4"/>
        <v>-7.3844755138488372E-2</v>
      </c>
    </row>
    <row r="245" spans="1:14" ht="18.399999999999999" x14ac:dyDescent="0.45">
      <c r="A245" s="1">
        <v>1402</v>
      </c>
      <c r="B245" s="1" t="s">
        <v>291</v>
      </c>
      <c r="C245" s="2" t="s">
        <v>267</v>
      </c>
      <c r="D245" s="5">
        <v>486500</v>
      </c>
      <c r="E245" s="16">
        <v>375090</v>
      </c>
      <c r="F245" s="34">
        <v>0.37845495521300704</v>
      </c>
      <c r="G245" s="34">
        <v>0.37735985565445362</v>
      </c>
      <c r="H245" s="34">
        <v>0.39422984051903481</v>
      </c>
      <c r="I245" s="29">
        <v>304.34800000000001</v>
      </c>
      <c r="J245" s="30">
        <f t="shared" si="5"/>
        <v>2.9524389418848607E-2</v>
      </c>
      <c r="K245" s="32">
        <v>191.6</v>
      </c>
      <c r="L245" s="34">
        <v>0.4022678877770417</v>
      </c>
      <c r="M245" s="22">
        <v>0.23722599999999999</v>
      </c>
      <c r="N245" s="30">
        <f t="shared" si="4"/>
        <v>-9.0519792039440883E-2</v>
      </c>
    </row>
    <row r="246" spans="1:14" ht="18.399999999999999" x14ac:dyDescent="0.45">
      <c r="A246" s="1">
        <v>1402</v>
      </c>
      <c r="B246" s="1" t="s">
        <v>292</v>
      </c>
      <c r="C246" s="2" t="s">
        <v>268</v>
      </c>
      <c r="D246" s="5">
        <v>493500</v>
      </c>
      <c r="E246" s="17">
        <v>375090</v>
      </c>
      <c r="F246" s="34">
        <v>0.38236580342853332</v>
      </c>
      <c r="G246" s="34">
        <v>0.38138624458412179</v>
      </c>
      <c r="H246" s="34">
        <v>0.39800932596057892</v>
      </c>
      <c r="I246" s="29">
        <v>306.26900000000001</v>
      </c>
      <c r="J246" s="30">
        <f t="shared" si="5"/>
        <v>3.2039250440590195E-2</v>
      </c>
      <c r="K246" s="32">
        <v>196.5</v>
      </c>
      <c r="L246" s="34">
        <v>0.40601153234132653</v>
      </c>
      <c r="M246" s="22">
        <v>0.26194499999999998</v>
      </c>
      <c r="N246" s="30">
        <f t="shared" si="4"/>
        <v>-5.8933487895957426E-2</v>
      </c>
    </row>
    <row r="247" spans="1:14" ht="18.399999999999999" x14ac:dyDescent="0.45">
      <c r="A247" s="1">
        <v>1402</v>
      </c>
      <c r="B247" s="1" t="s">
        <v>293</v>
      </c>
      <c r="C247" s="2" t="s">
        <v>269</v>
      </c>
      <c r="D247" s="5">
        <v>494000</v>
      </c>
      <c r="E247" s="17">
        <v>375090</v>
      </c>
      <c r="F247" s="34">
        <v>0.38467757595232627</v>
      </c>
      <c r="G247" s="34">
        <v>0.3836146714465184</v>
      </c>
      <c r="H247" s="34">
        <v>0.39640851036375918</v>
      </c>
      <c r="I247" s="29">
        <v>307.48099999999999</v>
      </c>
      <c r="J247" s="30">
        <f t="shared" si="5"/>
        <v>3.1600807885607596E-2</v>
      </c>
      <c r="K247" s="32">
        <v>200.6</v>
      </c>
      <c r="L247" s="34">
        <v>0.40266187475198623</v>
      </c>
      <c r="M247" s="22">
        <v>0.25686500000000001</v>
      </c>
      <c r="N247" s="30">
        <f t="shared" si="4"/>
        <v>-5.9849750849584993E-2</v>
      </c>
    </row>
    <row r="248" spans="1:14" ht="18.399999999999999" x14ac:dyDescent="0.45">
      <c r="A248" s="1">
        <v>1402</v>
      </c>
      <c r="B248" s="1" t="s">
        <v>294</v>
      </c>
      <c r="C248" s="2" t="s">
        <v>270</v>
      </c>
      <c r="D248" s="5">
        <v>509000</v>
      </c>
      <c r="E248" s="16">
        <v>374824</v>
      </c>
      <c r="F248" s="34">
        <v>0.38797310621198788</v>
      </c>
      <c r="G248" s="34">
        <v>0.38660892705050942</v>
      </c>
      <c r="H248" s="34">
        <v>0.39310231249678507</v>
      </c>
      <c r="I248" s="29">
        <v>307.61900000000003</v>
      </c>
      <c r="J248" s="30">
        <f t="shared" si="5"/>
        <v>3.232355773909612E-2</v>
      </c>
      <c r="K248" s="32">
        <v>205.4</v>
      </c>
      <c r="L248" s="34">
        <v>0.39634095978691108</v>
      </c>
      <c r="M248" s="22">
        <v>0.249222</v>
      </c>
      <c r="N248" s="30">
        <f t="shared" si="4"/>
        <v>-7.1033909147355467E-2</v>
      </c>
    </row>
    <row r="249" spans="1:14" ht="18.399999999999999" x14ac:dyDescent="0.45">
      <c r="A249" s="1">
        <v>1402</v>
      </c>
      <c r="B249" s="1" t="s">
        <v>295</v>
      </c>
      <c r="C249" s="2" t="s">
        <v>271</v>
      </c>
      <c r="D249" s="5">
        <v>504500</v>
      </c>
      <c r="E249" s="16">
        <v>378891</v>
      </c>
      <c r="F249" s="34">
        <v>0.39413580485605193</v>
      </c>
      <c r="G249" s="34">
        <v>0.39275715989631577</v>
      </c>
      <c r="H249" s="34">
        <v>0.39339204070325906</v>
      </c>
      <c r="I249" s="29">
        <v>307.91699999999997</v>
      </c>
      <c r="J249" s="30">
        <f t="shared" si="5"/>
        <v>3.1209184254415545E-2</v>
      </c>
      <c r="K249" s="32">
        <v>209.9</v>
      </c>
      <c r="L249" s="34">
        <v>0.39371554968916117</v>
      </c>
      <c r="M249" s="22">
        <v>0.26090000000000002</v>
      </c>
      <c r="N249" s="30">
        <f t="shared" si="4"/>
        <v>-6.6906904605444628E-2</v>
      </c>
    </row>
    <row r="250" spans="1:14" ht="18.399999999999999" x14ac:dyDescent="0.45">
      <c r="A250" s="1">
        <v>1402</v>
      </c>
      <c r="B250" s="1" t="s">
        <v>296</v>
      </c>
      <c r="C250" s="2" t="s">
        <v>272</v>
      </c>
      <c r="D250" s="5">
        <v>501000</v>
      </c>
      <c r="E250" s="16">
        <v>390468</v>
      </c>
      <c r="F250" s="34">
        <v>0.40069395612352421</v>
      </c>
      <c r="G250" s="34">
        <v>0.39927785833742974</v>
      </c>
      <c r="H250" s="34">
        <v>0.40136879700426276</v>
      </c>
      <c r="I250" s="29">
        <v>308.85000000000002</v>
      </c>
      <c r="J250" s="30">
        <f t="shared" si="5"/>
        <v>3.2977691561590694E-2</v>
      </c>
      <c r="K250" s="32">
        <v>216</v>
      </c>
      <c r="L250" s="34">
        <v>0.40244632016498</v>
      </c>
      <c r="M250" s="22">
        <v>0.26763300000000001</v>
      </c>
      <c r="N250" s="30">
        <f t="shared" si="4"/>
        <v>-4.9169400605751312E-2</v>
      </c>
    </row>
    <row r="251" spans="1:14" ht="18.399999999999999" x14ac:dyDescent="0.45">
      <c r="A251" s="1">
        <v>1402</v>
      </c>
      <c r="B251" s="1" t="s">
        <v>297</v>
      </c>
      <c r="C251" s="2" t="s">
        <v>273</v>
      </c>
      <c r="D251" s="5">
        <v>541500</v>
      </c>
      <c r="E251" s="16">
        <v>395237</v>
      </c>
      <c r="F251" s="34">
        <v>0.4070000685307838</v>
      </c>
      <c r="G251" s="34">
        <v>0.40576796210852334</v>
      </c>
      <c r="H251" s="34">
        <v>0.38681819459005878</v>
      </c>
      <c r="I251" s="29">
        <v>309.78582702481521</v>
      </c>
      <c r="J251" s="30">
        <f t="shared" si="5"/>
        <v>3.077776713876279E-2</v>
      </c>
      <c r="K251" s="32">
        <v>221.8</v>
      </c>
      <c r="L251" s="34">
        <v>0.37721241608294631</v>
      </c>
      <c r="M251" s="22">
        <v>0.28732999999999997</v>
      </c>
      <c r="N251" s="30">
        <f t="shared" si="4"/>
        <v>-3.1670000000000031E-2</v>
      </c>
    </row>
    <row r="252" spans="1:14" ht="18.399999999999999" x14ac:dyDescent="0.45">
      <c r="A252" s="1">
        <v>1402</v>
      </c>
      <c r="B252" s="1" t="s">
        <v>298</v>
      </c>
      <c r="C252" s="2" t="s">
        <v>274</v>
      </c>
      <c r="D252" s="5">
        <v>570500</v>
      </c>
      <c r="E252" s="16">
        <v>397093</v>
      </c>
      <c r="F252" s="34">
        <v>0.41165083640285699</v>
      </c>
      <c r="G252" s="34">
        <v>0.41057225561262867</v>
      </c>
      <c r="H252" s="34">
        <v>0.36167313837030662</v>
      </c>
      <c r="I252" s="29">
        <v>311.05399999999997</v>
      </c>
      <c r="J252" s="30">
        <f t="shared" si="5"/>
        <v>2.6783205540492405E-2</v>
      </c>
      <c r="K252" s="32">
        <v>225.1</v>
      </c>
      <c r="L252" s="34">
        <v>0.33721046767451013</v>
      </c>
      <c r="M252" s="22">
        <v>0.30126999999999998</v>
      </c>
      <c r="N252" s="30">
        <f t="shared" si="4"/>
        <v>-5.0730000000000053E-2</v>
      </c>
    </row>
    <row r="253" spans="1:14" ht="18.399999999999999" x14ac:dyDescent="0.45">
      <c r="A253" s="1">
        <v>1402</v>
      </c>
      <c r="B253" s="1" t="s">
        <v>299</v>
      </c>
      <c r="C253" s="2" t="s">
        <v>275</v>
      </c>
      <c r="D253" s="5">
        <v>609500</v>
      </c>
      <c r="E253" s="16">
        <v>405527</v>
      </c>
      <c r="F253" s="34">
        <v>0.41743728907106659</v>
      </c>
      <c r="G253" s="34">
        <v>0.41681812599933382</v>
      </c>
      <c r="H253" s="34">
        <v>0.32819597499212305</v>
      </c>
      <c r="I253" s="29">
        <v>312.23</v>
      </c>
      <c r="J253" s="30">
        <f t="shared" si="5"/>
        <v>2.2485276461426285E-2</v>
      </c>
      <c r="K253" s="32">
        <v>229.6</v>
      </c>
      <c r="L253" s="34">
        <v>0.28551623366120227</v>
      </c>
      <c r="M253" s="22">
        <v>0.30760500000000002</v>
      </c>
      <c r="N253" s="30">
        <f t="shared" si="4"/>
        <v>-6.0394999999999976E-2</v>
      </c>
    </row>
    <row r="254" spans="1:14" ht="18.399999999999999" x14ac:dyDescent="0.45">
      <c r="A254" s="1">
        <v>1403</v>
      </c>
      <c r="B254" s="1" t="s">
        <v>288</v>
      </c>
      <c r="C254" s="2" t="s">
        <v>276</v>
      </c>
      <c r="D254" s="5">
        <v>663500</v>
      </c>
      <c r="E254" s="16">
        <v>406482</v>
      </c>
      <c r="F254" s="34">
        <v>0.41515679444529752</v>
      </c>
      <c r="G254" s="34">
        <v>0.41493579759185251</v>
      </c>
      <c r="H254" s="34">
        <v>0.31502129056491357</v>
      </c>
      <c r="I254" s="29">
        <v>313.20699999999999</v>
      </c>
      <c r="J254" s="30">
        <f t="shared" si="5"/>
        <v>3.3966287906298076E-2</v>
      </c>
      <c r="K254" s="32">
        <v>235.5</v>
      </c>
      <c r="L254" s="34">
        <v>0.26812525713402552</v>
      </c>
      <c r="M254" s="22">
        <v>0.31978099999999998</v>
      </c>
      <c r="N254" s="30">
        <f t="shared" si="4"/>
        <v>-6.5219000000000027E-2</v>
      </c>
    </row>
    <row r="255" spans="1:14" ht="18.399999999999999" x14ac:dyDescent="0.45">
      <c r="A255" s="1">
        <v>1403</v>
      </c>
      <c r="B255" s="1" t="s">
        <v>289</v>
      </c>
      <c r="C255" s="2" t="s">
        <v>277</v>
      </c>
      <c r="D255" s="5">
        <v>582500</v>
      </c>
      <c r="E255" s="16">
        <v>418404</v>
      </c>
      <c r="F255" s="34">
        <v>0.42736003469921113</v>
      </c>
      <c r="G255" s="34">
        <v>0.42706746582963828</v>
      </c>
      <c r="H255" s="34">
        <v>0.3157840264767674</v>
      </c>
      <c r="I255" s="29">
        <v>313.22500000000002</v>
      </c>
      <c r="J255" s="30">
        <f t="shared" si="5"/>
        <v>3.2743806339723402E-2</v>
      </c>
      <c r="K255" s="32">
        <v>242.2</v>
      </c>
      <c r="L255" s="34">
        <v>0.26434407981673075</v>
      </c>
      <c r="M255" s="22">
        <v>0.35791200000000001</v>
      </c>
      <c r="N255" s="30">
        <f t="shared" si="4"/>
        <v>-2.9088000000000003E-2</v>
      </c>
    </row>
    <row r="256" spans="1:14" ht="18.399999999999999" x14ac:dyDescent="0.45">
      <c r="A256" s="1">
        <v>1403</v>
      </c>
      <c r="B256" s="1" t="s">
        <v>290</v>
      </c>
      <c r="C256" s="2" t="s">
        <v>278</v>
      </c>
      <c r="D256" s="5">
        <v>590000</v>
      </c>
      <c r="E256" s="16">
        <v>428998</v>
      </c>
      <c r="F256" s="34">
        <v>0.42194218017641705</v>
      </c>
      <c r="G256" s="34">
        <v>0.4219313275645078</v>
      </c>
      <c r="H256" s="34">
        <v>0.32485875513848839</v>
      </c>
      <c r="I256" s="29">
        <v>313.04899999999998</v>
      </c>
      <c r="J256" s="30">
        <f t="shared" si="5"/>
        <v>3.0305324166257863E-2</v>
      </c>
      <c r="K256" s="32">
        <v>248.9</v>
      </c>
      <c r="L256" s="34">
        <v>0.2796373330564596</v>
      </c>
      <c r="M256" s="22">
        <v>0.298404</v>
      </c>
      <c r="N256" s="30">
        <f t="shared" si="4"/>
        <v>-9.5596000000000014E-2</v>
      </c>
    </row>
    <row r="257" spans="1:14" ht="18.399999999999999" x14ac:dyDescent="0.45">
      <c r="A257" s="1">
        <v>1403</v>
      </c>
      <c r="B257" s="1" t="s">
        <v>291</v>
      </c>
      <c r="C257" s="2" t="s">
        <v>279</v>
      </c>
      <c r="D257" s="5">
        <v>579000</v>
      </c>
      <c r="E257" s="16">
        <v>438010</v>
      </c>
      <c r="F257" s="34">
        <v>0.42913452233344546</v>
      </c>
      <c r="G257" s="34">
        <v>0.42951632292785008</v>
      </c>
      <c r="H257" s="34">
        <v>0.32774579203944088</v>
      </c>
      <c r="I257" s="29">
        <v>313.53399999999999</v>
      </c>
      <c r="J257" s="30">
        <f t="shared" si="5"/>
        <v>3.0182554181397592E-2</v>
      </c>
      <c r="K257" s="32">
        <v>254.4</v>
      </c>
      <c r="L257" s="34">
        <v>0.28011647715563442</v>
      </c>
      <c r="M257" s="22">
        <v>0.30691400000000002</v>
      </c>
      <c r="N257" s="30">
        <f t="shared" si="4"/>
        <v>-0.10508599999999996</v>
      </c>
    </row>
    <row r="258" spans="1:14" ht="18.399999999999999" x14ac:dyDescent="0.45">
      <c r="A258" s="1">
        <v>1403</v>
      </c>
      <c r="B258" s="1" t="s">
        <v>292</v>
      </c>
      <c r="C258" s="2" t="s">
        <v>280</v>
      </c>
      <c r="D258" s="5">
        <v>589000</v>
      </c>
      <c r="E258" s="16">
        <v>452149</v>
      </c>
      <c r="F258" s="34">
        <v>0.42788374009094982</v>
      </c>
      <c r="G258" s="34">
        <v>0.42812245023121792</v>
      </c>
      <c r="H258" s="34">
        <v>0.32087848789595741</v>
      </c>
      <c r="I258" s="29">
        <v>314.12099999999998</v>
      </c>
      <c r="J258" s="30">
        <f t="shared" si="5"/>
        <v>2.5637593096264899E-2</v>
      </c>
      <c r="K258" s="32">
        <v>259.5</v>
      </c>
      <c r="L258" s="34">
        <v>0.27015637776875595</v>
      </c>
      <c r="M258" s="22">
        <v>0.291325</v>
      </c>
      <c r="N258" s="30">
        <f t="shared" si="4"/>
        <v>-0.13267499999999999</v>
      </c>
    </row>
    <row r="259" spans="1:14" ht="18.399999999999999" x14ac:dyDescent="0.45">
      <c r="A259" s="1">
        <v>1403</v>
      </c>
      <c r="B259" s="1" t="s">
        <v>293</v>
      </c>
      <c r="C259" s="2" t="s">
        <v>281</v>
      </c>
      <c r="D259" s="5">
        <v>593000</v>
      </c>
      <c r="E259" s="16">
        <v>461528</v>
      </c>
      <c r="F259" s="34">
        <v>0.42069138556466557</v>
      </c>
      <c r="G259" s="34">
        <v>0.42108333653568591</v>
      </c>
      <c r="H259" s="34">
        <v>0.316714750849585</v>
      </c>
      <c r="I259" s="29">
        <v>314.68599999999998</v>
      </c>
      <c r="J259" s="30">
        <f t="shared" si="5"/>
        <v>2.3432342160979003E-2</v>
      </c>
      <c r="K259" s="32">
        <v>264.10000000000002</v>
      </c>
      <c r="L259" s="34">
        <v>0.2663942654436815</v>
      </c>
      <c r="M259" s="22">
        <v>0.29297299999999998</v>
      </c>
      <c r="N259" s="30">
        <f t="shared" si="4"/>
        <v>-0.16002700000000003</v>
      </c>
    </row>
    <row r="260" spans="1:14" ht="18.399999999999999" x14ac:dyDescent="0.45">
      <c r="A260" s="1">
        <v>1403</v>
      </c>
      <c r="B260" s="1" t="s">
        <v>294</v>
      </c>
      <c r="C260" s="2" t="s">
        <v>282</v>
      </c>
      <c r="D260" s="5">
        <v>650500</v>
      </c>
      <c r="E260" s="16">
        <v>486897</v>
      </c>
      <c r="F260" s="34">
        <v>0.40773679904357579</v>
      </c>
      <c r="G260" s="34">
        <v>0.40843492981533186</v>
      </c>
      <c r="H260" s="34">
        <v>0.32025590914735547</v>
      </c>
      <c r="I260" s="29">
        <v>315.45400000000001</v>
      </c>
      <c r="J260" s="30">
        <f t="shared" si="5"/>
        <v>2.5469818184182369E-2</v>
      </c>
      <c r="K260" s="32">
        <v>271.2</v>
      </c>
      <c r="L260" s="34">
        <v>0.27658218213332364</v>
      </c>
      <c r="M260" s="22">
        <v>0.32610013734989157</v>
      </c>
      <c r="N260" s="30">
        <f t="shared" si="4"/>
        <v>-0.15989986265010842</v>
      </c>
    </row>
    <row r="261" spans="1:14" ht="18.399999999999999" x14ac:dyDescent="0.8">
      <c r="A261" s="1">
        <v>1403</v>
      </c>
      <c r="B261" s="1" t="s">
        <v>295</v>
      </c>
      <c r="C261" s="2" t="s">
        <v>283</v>
      </c>
      <c r="D261" s="5">
        <v>691500</v>
      </c>
      <c r="E261" s="18">
        <v>510259</v>
      </c>
      <c r="F261" s="34">
        <v>0.39472996437388419</v>
      </c>
      <c r="G261" s="34">
        <v>0.39515510547117655</v>
      </c>
      <c r="H261" s="34">
        <v>0.32780690460544465</v>
      </c>
      <c r="I261" s="29">
        <v>316.44099999999997</v>
      </c>
      <c r="J261" s="30">
        <f t="shared" si="5"/>
        <v>2.7682784646511971E-2</v>
      </c>
      <c r="K261" s="32">
        <v>278.8</v>
      </c>
      <c r="L261" s="34">
        <v>0.29351264722517983</v>
      </c>
      <c r="M261" s="22">
        <v>0.29888622672631032</v>
      </c>
      <c r="N261" s="30">
        <f t="shared" si="4"/>
        <v>-0.19111377327368967</v>
      </c>
    </row>
    <row r="262" spans="1:14" ht="18.399999999999999" x14ac:dyDescent="0.8">
      <c r="A262" s="1">
        <v>1403</v>
      </c>
      <c r="B262" s="1" t="s">
        <v>296</v>
      </c>
      <c r="C262" s="2" t="s">
        <v>284</v>
      </c>
      <c r="D262" s="5">
        <v>770000</v>
      </c>
      <c r="E262" s="18">
        <v>627321</v>
      </c>
      <c r="F262" s="34">
        <v>0.38001951040697973</v>
      </c>
      <c r="G262" s="34">
        <v>0.38025052204927873</v>
      </c>
      <c r="H262" s="34">
        <v>0.31680240060575132</v>
      </c>
      <c r="I262" s="29">
        <v>317.685</v>
      </c>
      <c r="J262" s="30">
        <f>I262/I250-1</f>
        <v>2.8606119475473424E-2</v>
      </c>
      <c r="K262" s="32">
        <v>284.39999999999998</v>
      </c>
      <c r="L262" s="34">
        <v>0.28417955784389137</v>
      </c>
      <c r="M262" s="22">
        <v>0.30936295701597671</v>
      </c>
      <c r="N262" s="30">
        <f t="shared" si="4"/>
        <v>-0.21663704298402331</v>
      </c>
    </row>
    <row r="263" spans="1:14" ht="18.399999999999999" x14ac:dyDescent="0.8">
      <c r="A263" s="1">
        <v>1403</v>
      </c>
      <c r="B263" s="1" t="s">
        <v>300</v>
      </c>
      <c r="C263" s="2" t="s">
        <v>285</v>
      </c>
      <c r="D263" s="5">
        <v>810500</v>
      </c>
      <c r="E263" s="18">
        <v>665436</v>
      </c>
      <c r="F263" s="34">
        <v>0.377</v>
      </c>
      <c r="G263" s="34">
        <v>0.37799999999999995</v>
      </c>
      <c r="H263" s="34">
        <v>0.31900000000000001</v>
      </c>
      <c r="I263" s="29">
        <v>319.08</v>
      </c>
      <c r="J263" s="30">
        <f t="shared" ref="J263:J271" si="6">I263/I251-1</f>
        <v>3.0001930896729645E-2</v>
      </c>
      <c r="K263" s="32">
        <v>292.5</v>
      </c>
      <c r="L263" s="34">
        <v>0.28800000000000003</v>
      </c>
      <c r="M263" s="22">
        <v>0.33231892964135601</v>
      </c>
      <c r="N263" s="30">
        <f t="shared" si="4"/>
        <v>-0.26768107035864397</v>
      </c>
    </row>
    <row r="264" spans="1:14" ht="18.399999999999999" x14ac:dyDescent="0.8">
      <c r="A264" s="1">
        <v>1403</v>
      </c>
      <c r="B264" s="1" t="s">
        <v>298</v>
      </c>
      <c r="C264" s="2" t="s">
        <v>286</v>
      </c>
      <c r="D264" s="5">
        <v>919950</v>
      </c>
      <c r="E264" s="18">
        <v>675382</v>
      </c>
      <c r="F264" s="34">
        <v>0.375</v>
      </c>
      <c r="G264" s="34">
        <v>0.375</v>
      </c>
      <c r="H264" s="34">
        <v>0.35200000000000004</v>
      </c>
      <c r="I264" s="29">
        <v>319.77</v>
      </c>
      <c r="J264" s="30">
        <f t="shared" si="6"/>
        <v>2.8020858114668146E-2</v>
      </c>
      <c r="K264" s="32">
        <v>304.39999999999998</v>
      </c>
      <c r="L264" s="34">
        <v>0.34100000000000003</v>
      </c>
      <c r="M264" s="22">
        <v>0.33905578319474128</v>
      </c>
      <c r="N264" s="30">
        <f t="shared" si="4"/>
        <v>-0.2609442168052587</v>
      </c>
    </row>
    <row r="265" spans="1:14" ht="18.399999999999999" x14ac:dyDescent="0.8">
      <c r="A265" s="1">
        <v>1403</v>
      </c>
      <c r="B265" s="1" t="s">
        <v>299</v>
      </c>
      <c r="C265" s="2" t="s">
        <v>287</v>
      </c>
      <c r="D265" s="5">
        <v>977800</v>
      </c>
      <c r="E265" s="18">
        <v>687390</v>
      </c>
      <c r="F265" s="34">
        <v>0.37</v>
      </c>
      <c r="G265" s="34">
        <v>0.36899999999999999</v>
      </c>
      <c r="H265" s="34">
        <v>0.36799999999999999</v>
      </c>
      <c r="I265" s="29">
        <v>319.61</v>
      </c>
      <c r="J265" s="30">
        <f t="shared" si="6"/>
        <v>2.3636421868494351E-2</v>
      </c>
      <c r="K265" s="32">
        <v>314.10000000000002</v>
      </c>
      <c r="L265" s="34">
        <v>0.36700000000000005</v>
      </c>
      <c r="M265" s="22">
        <v>0.34830571161574098</v>
      </c>
      <c r="N265" s="30">
        <f t="shared" si="4"/>
        <v>-0.369694288384259</v>
      </c>
    </row>
    <row r="266" spans="1:14" ht="18.399999999999999" x14ac:dyDescent="0.8">
      <c r="A266" s="1">
        <v>1404</v>
      </c>
      <c r="B266" s="1" t="s">
        <v>288</v>
      </c>
      <c r="C266" s="2" t="str">
        <f>B266&amp;" "&amp;A266</f>
        <v>فروردین 1404</v>
      </c>
      <c r="D266" s="5">
        <v>827900</v>
      </c>
      <c r="E266" s="18">
        <v>693312</v>
      </c>
      <c r="F266" s="34">
        <v>0.376</v>
      </c>
      <c r="G266" s="34">
        <v>0.376</v>
      </c>
      <c r="H266" s="34">
        <v>0.38500000000000001</v>
      </c>
      <c r="I266" s="29">
        <v>320.32</v>
      </c>
      <c r="J266" s="30">
        <f t="shared" si="6"/>
        <v>2.2710220397373027E-2</v>
      </c>
      <c r="K266" s="32">
        <v>326.10000000000002</v>
      </c>
      <c r="L266" s="34">
        <v>0.38900000000000001</v>
      </c>
      <c r="M266" s="22">
        <v>0.3405592046500644</v>
      </c>
      <c r="N266" s="30">
        <f t="shared" si="4"/>
        <v>-0.39444079534993559</v>
      </c>
    </row>
    <row r="267" spans="1:14" ht="18.399999999999999" x14ac:dyDescent="0.8">
      <c r="A267" s="1">
        <v>1404</v>
      </c>
      <c r="B267" s="1" t="s">
        <v>289</v>
      </c>
      <c r="C267" s="2" t="str">
        <f t="shared" ref="C267:C281" si="7">B267&amp;" "&amp;A267</f>
        <v>اردیبهشت 1404</v>
      </c>
      <c r="D267" s="5">
        <v>838000</v>
      </c>
      <c r="E267" s="18">
        <v>694361</v>
      </c>
      <c r="F267" s="49">
        <v>0.37</v>
      </c>
      <c r="G267" s="49">
        <v>0.36899999999999999</v>
      </c>
      <c r="H267" s="49">
        <v>0.38700000000000001</v>
      </c>
      <c r="I267" s="29">
        <v>320.58</v>
      </c>
      <c r="J267" s="30">
        <f t="shared" si="6"/>
        <v>2.348152286694849E-2</v>
      </c>
      <c r="K267" s="31">
        <v>336.9</v>
      </c>
      <c r="L267" s="49">
        <v>0.39500000000000002</v>
      </c>
      <c r="M267" s="22">
        <v>0.34087390098358578</v>
      </c>
      <c r="N267" s="30">
        <f t="shared" si="4"/>
        <v>-0.49812609901641419</v>
      </c>
    </row>
    <row r="268" spans="1:14" ht="18.399999999999999" x14ac:dyDescent="0.8">
      <c r="A268" s="1">
        <v>1404</v>
      </c>
      <c r="B268" s="1" t="s">
        <v>290</v>
      </c>
      <c r="C268" s="2" t="str">
        <f t="shared" si="7"/>
        <v>خرداد 1404</v>
      </c>
      <c r="D268" s="5">
        <v>835350</v>
      </c>
      <c r="E268" s="18">
        <v>693824</v>
      </c>
      <c r="F268" s="49">
        <v>0.36799999999999999</v>
      </c>
      <c r="G268" s="49">
        <v>0.36699999999999999</v>
      </c>
      <c r="H268" s="49">
        <v>0.39400000000000002</v>
      </c>
      <c r="I268" s="29">
        <v>321.5</v>
      </c>
      <c r="J268" s="30">
        <f t="shared" si="6"/>
        <v>2.6995773824545211E-2</v>
      </c>
      <c r="K268" s="31">
        <v>348.1</v>
      </c>
      <c r="L268" s="49">
        <v>0.40600000000000003</v>
      </c>
      <c r="M268" s="22">
        <v>0.35281442315116512</v>
      </c>
      <c r="N268" s="30">
        <f t="shared" si="4"/>
        <v>-0.54718557684883495</v>
      </c>
    </row>
    <row r="269" spans="1:14" ht="18.399999999999999" x14ac:dyDescent="0.8">
      <c r="A269" s="1">
        <v>1404</v>
      </c>
      <c r="B269" s="1" t="s">
        <v>291</v>
      </c>
      <c r="C269" s="2" t="str">
        <f t="shared" si="7"/>
        <v>تیر 1404</v>
      </c>
      <c r="D269" s="5">
        <v>881100</v>
      </c>
      <c r="E269" s="18">
        <v>693500</v>
      </c>
      <c r="F269" s="49">
        <v>0.35599999999999998</v>
      </c>
      <c r="G269" s="49">
        <v>0.35499999999999998</v>
      </c>
      <c r="H269" s="49">
        <v>0.41199999999999998</v>
      </c>
      <c r="I269" s="29">
        <v>322.13200000000001</v>
      </c>
      <c r="J269" s="30">
        <f t="shared" si="6"/>
        <v>2.742286323014409E-2</v>
      </c>
      <c r="K269" s="31">
        <v>360.2</v>
      </c>
      <c r="L269" s="49">
        <v>0.438</v>
      </c>
      <c r="M269" s="22">
        <v>0.34290329152558641</v>
      </c>
      <c r="N269" s="30">
        <f t="shared" si="4"/>
        <v>-0.60709670847441355</v>
      </c>
    </row>
    <row r="270" spans="1:14" ht="18.399999999999999" x14ac:dyDescent="0.8">
      <c r="A270" s="1">
        <v>1404</v>
      </c>
      <c r="B270" s="1" t="s">
        <v>292</v>
      </c>
      <c r="C270" s="2" t="str">
        <f t="shared" si="7"/>
        <v>مرداد 1404</v>
      </c>
      <c r="D270" s="5">
        <v>950600</v>
      </c>
      <c r="E270" s="18">
        <v>698196</v>
      </c>
      <c r="F270" s="49">
        <v>0.34699999999999998</v>
      </c>
      <c r="G270" s="49">
        <v>0.34599999999999997</v>
      </c>
      <c r="H270" s="49">
        <v>0.42399999999999999</v>
      </c>
      <c r="I270" s="29">
        <v>323.36399999999998</v>
      </c>
      <c r="J270" s="30">
        <f t="shared" si="6"/>
        <v>2.9424966812152009E-2</v>
      </c>
      <c r="K270" s="31">
        <v>370.5</v>
      </c>
      <c r="L270" s="49">
        <v>0.46100000000000002</v>
      </c>
      <c r="M270" s="22">
        <v>0.35202812415015827</v>
      </c>
      <c r="N270" s="30"/>
    </row>
    <row r="271" spans="1:14" ht="18.399999999999999" x14ac:dyDescent="0.8">
      <c r="A271" s="1">
        <v>1404</v>
      </c>
      <c r="B271" s="1" t="s">
        <v>293</v>
      </c>
      <c r="C271" s="1" t="str">
        <f t="shared" si="7"/>
        <v>شهریور 1404</v>
      </c>
      <c r="D271" s="5">
        <v>1040000</v>
      </c>
      <c r="E271" s="18">
        <v>698440</v>
      </c>
      <c r="F271" s="49">
        <v>0.34599999999999997</v>
      </c>
      <c r="G271" s="49">
        <v>0.34399999999999997</v>
      </c>
      <c r="H271" s="49">
        <v>0.45300000000000001</v>
      </c>
      <c r="I271" s="29">
        <f>324.368</f>
        <v>324.36799999999999</v>
      </c>
      <c r="J271" s="30">
        <f t="shared" si="6"/>
        <v>3.0767177440369275E-2</v>
      </c>
      <c r="K271" s="31">
        <v>384.6</v>
      </c>
      <c r="L271" s="49">
        <v>0.505</v>
      </c>
      <c r="M271" s="22">
        <v>0.35230505591947331</v>
      </c>
      <c r="N271" s="30"/>
    </row>
    <row r="272" spans="1:14" ht="18.399999999999999" x14ac:dyDescent="0.8">
      <c r="A272" s="1">
        <v>1404</v>
      </c>
      <c r="B272" s="1" t="s">
        <v>294</v>
      </c>
      <c r="C272" s="1" t="str">
        <f t="shared" si="7"/>
        <v>مهر 1404</v>
      </c>
      <c r="D272" s="5">
        <v>1075600</v>
      </c>
      <c r="E272" s="18">
        <v>702029</v>
      </c>
      <c r="F272" s="49">
        <v>0.34200000000000003</v>
      </c>
      <c r="G272" s="49">
        <v>0.34</v>
      </c>
      <c r="H272" s="49">
        <v>0.48599999999999999</v>
      </c>
      <c r="I272" s="29">
        <f t="shared" ref="I272:I281" si="8">I260*(1+J272)</f>
        <v>324.91762</v>
      </c>
      <c r="J272" s="30">
        <v>0.03</v>
      </c>
      <c r="K272" s="31">
        <v>403.8</v>
      </c>
      <c r="L272" s="49">
        <v>0.55600000000000005</v>
      </c>
      <c r="M272" s="22">
        <v>0.35450444890858779</v>
      </c>
      <c r="N272" s="58"/>
    </row>
    <row r="273" spans="1:14" ht="18.399999999999999" x14ac:dyDescent="0.8">
      <c r="A273" s="1">
        <v>1404</v>
      </c>
      <c r="B273" s="1" t="s">
        <v>295</v>
      </c>
      <c r="C273" s="1" t="str">
        <f t="shared" si="7"/>
        <v>آبان 1404</v>
      </c>
      <c r="D273" s="5">
        <v>1135200</v>
      </c>
      <c r="E273" s="18">
        <v>716918</v>
      </c>
      <c r="F273" s="49">
        <v>0.35</v>
      </c>
      <c r="G273" s="49">
        <v>0.36</v>
      </c>
      <c r="H273" s="49">
        <v>0.49</v>
      </c>
      <c r="I273" s="29">
        <f t="shared" si="8"/>
        <v>325.93422999999996</v>
      </c>
      <c r="J273" s="30">
        <v>0.03</v>
      </c>
      <c r="K273" s="31">
        <f t="shared" ref="K273:K281" si="9">K261*(1+H273)</f>
        <v>415.41200000000003</v>
      </c>
      <c r="L273" s="49">
        <v>0.55000000000000004</v>
      </c>
      <c r="M273" s="22">
        <v>0.36780000000000002</v>
      </c>
      <c r="N273" s="58"/>
    </row>
    <row r="274" spans="1:14" ht="18.399999999999999" x14ac:dyDescent="0.8">
      <c r="A274" s="1">
        <v>1404</v>
      </c>
      <c r="B274" s="1" t="s">
        <v>296</v>
      </c>
      <c r="C274" s="1" t="str">
        <f t="shared" si="7"/>
        <v>آذر 1404</v>
      </c>
      <c r="D274" s="13">
        <v>1312250</v>
      </c>
      <c r="E274" s="18">
        <v>781608</v>
      </c>
      <c r="F274" s="49">
        <v>0.33700000000000002</v>
      </c>
      <c r="G274" s="49">
        <v>0.33400000000000002</v>
      </c>
      <c r="H274" s="49">
        <v>0.52600000000000002</v>
      </c>
      <c r="I274" s="29">
        <f t="shared" si="8"/>
        <v>327.21555000000001</v>
      </c>
      <c r="J274" s="30">
        <v>0.03</v>
      </c>
      <c r="K274" s="31">
        <f t="shared" si="9"/>
        <v>433.99439999999998</v>
      </c>
      <c r="L274" s="49">
        <v>0.62</v>
      </c>
      <c r="M274" s="22">
        <v>0.377</v>
      </c>
      <c r="N274" s="58"/>
    </row>
    <row r="275" spans="1:14" ht="18.399999999999999" x14ac:dyDescent="0.8">
      <c r="A275" s="1">
        <v>1404</v>
      </c>
      <c r="B275" s="1" t="s">
        <v>297</v>
      </c>
      <c r="C275" s="1" t="str">
        <f t="shared" si="7"/>
        <v>دی 1404</v>
      </c>
      <c r="D275" s="13">
        <v>1455400</v>
      </c>
      <c r="E275" s="18">
        <v>1268486</v>
      </c>
      <c r="F275" s="49">
        <v>0.33</v>
      </c>
      <c r="G275" s="49">
        <v>0.32700000000000001</v>
      </c>
      <c r="H275" s="49">
        <v>0.6</v>
      </c>
      <c r="I275" s="29">
        <f t="shared" si="8"/>
        <v>328.6524</v>
      </c>
      <c r="J275" s="30">
        <v>0.03</v>
      </c>
      <c r="K275" s="31">
        <f t="shared" si="9"/>
        <v>468</v>
      </c>
      <c r="L275" s="49">
        <v>0.73299999999999998</v>
      </c>
      <c r="M275" s="22">
        <v>0.38</v>
      </c>
      <c r="N275" s="58"/>
    </row>
    <row r="276" spans="1:14" ht="18.399999999999999" x14ac:dyDescent="0.8">
      <c r="A276" s="1">
        <v>1404</v>
      </c>
      <c r="B276" s="1" t="s">
        <v>298</v>
      </c>
      <c r="C276" s="1" t="str">
        <f t="shared" si="7"/>
        <v>بهمن 1404</v>
      </c>
      <c r="D276" s="13">
        <v>1635000</v>
      </c>
      <c r="E276" s="18">
        <v>1250000</v>
      </c>
      <c r="F276" s="49">
        <v>0.33</v>
      </c>
      <c r="G276" s="49">
        <v>0.32700000000000001</v>
      </c>
      <c r="H276" s="49">
        <v>0.6</v>
      </c>
      <c r="I276" s="29">
        <f t="shared" si="8"/>
        <v>329.36309999999997</v>
      </c>
      <c r="J276" s="30">
        <v>0.03</v>
      </c>
      <c r="K276" s="31">
        <f t="shared" si="9"/>
        <v>487.03999999999996</v>
      </c>
      <c r="L276" s="49">
        <v>0.7</v>
      </c>
      <c r="M276" s="22">
        <v>0.38</v>
      </c>
      <c r="N276" s="58"/>
    </row>
    <row r="277" spans="1:14" ht="18.399999999999999" x14ac:dyDescent="0.8">
      <c r="A277" s="1">
        <v>1404</v>
      </c>
      <c r="B277" s="1" t="s">
        <v>299</v>
      </c>
      <c r="C277" s="1" t="str">
        <f t="shared" si="7"/>
        <v>اسفند 1404</v>
      </c>
      <c r="D277" s="13">
        <v>1534810</v>
      </c>
      <c r="E277" s="18">
        <v>1390000</v>
      </c>
      <c r="F277" s="49">
        <v>0.32100000000000001</v>
      </c>
      <c r="G277" s="49">
        <v>0.317</v>
      </c>
      <c r="H277" s="49">
        <v>0.71799999999999997</v>
      </c>
      <c r="I277" s="29">
        <f t="shared" si="8"/>
        <v>330.79634999999996</v>
      </c>
      <c r="J277" s="30">
        <v>3.5000000000000003E-2</v>
      </c>
      <c r="K277" s="31">
        <f t="shared" si="9"/>
        <v>539.62380000000007</v>
      </c>
      <c r="L277" s="49">
        <v>0.90600000000000003</v>
      </c>
      <c r="M277" s="22">
        <v>0.4</v>
      </c>
      <c r="N277" s="58"/>
    </row>
    <row r="278" spans="1:14" ht="18.399999999999999" x14ac:dyDescent="0.8">
      <c r="A278" s="1">
        <v>1405</v>
      </c>
      <c r="B278" s="1" t="s">
        <v>288</v>
      </c>
      <c r="C278" s="1" t="str">
        <f t="shared" si="7"/>
        <v>فروردین 1405</v>
      </c>
      <c r="D278" s="13">
        <v>1525000</v>
      </c>
      <c r="E278" s="18">
        <v>1410000</v>
      </c>
      <c r="F278" s="49">
        <v>0.316</v>
      </c>
      <c r="G278" s="49">
        <v>0.311</v>
      </c>
      <c r="H278" s="49">
        <v>0.73499999999999999</v>
      </c>
      <c r="I278" s="29">
        <f t="shared" si="8"/>
        <v>329.92959999999999</v>
      </c>
      <c r="J278" s="30">
        <v>0.03</v>
      </c>
      <c r="K278" s="31">
        <f t="shared" si="9"/>
        <v>565.7835</v>
      </c>
      <c r="L278" s="49">
        <v>0.92900000000000005</v>
      </c>
      <c r="M278" s="22">
        <v>0.38</v>
      </c>
      <c r="N278" s="58"/>
    </row>
    <row r="279" spans="1:14" ht="18.399999999999999" x14ac:dyDescent="0.8">
      <c r="A279" s="1">
        <v>1405</v>
      </c>
      <c r="B279" s="1" t="s">
        <v>289</v>
      </c>
      <c r="C279" s="1" t="str">
        <f t="shared" si="7"/>
        <v>اردیبهشت 1405</v>
      </c>
      <c r="D279" s="13">
        <v>1793000</v>
      </c>
      <c r="E279" s="18">
        <v>1430000</v>
      </c>
      <c r="F279" s="49">
        <v>0.315</v>
      </c>
      <c r="G279" s="49">
        <v>0.309</v>
      </c>
      <c r="H279" s="49">
        <v>0.83899999999999997</v>
      </c>
      <c r="I279" s="29">
        <f t="shared" si="8"/>
        <v>330.83855999999997</v>
      </c>
      <c r="J279" s="30">
        <v>3.2000000000000001E-2</v>
      </c>
      <c r="K279" s="31">
        <f t="shared" si="9"/>
        <v>619.55909999999994</v>
      </c>
      <c r="L279" s="49">
        <v>1.079</v>
      </c>
      <c r="M279" s="22">
        <v>0.38</v>
      </c>
      <c r="N279" s="58"/>
    </row>
    <row r="280" spans="1:14" ht="18.399999999999999" x14ac:dyDescent="0.8">
      <c r="A280" s="1">
        <v>1405</v>
      </c>
      <c r="B280" s="1" t="s">
        <v>290</v>
      </c>
      <c r="C280" s="1" t="str">
        <f t="shared" si="7"/>
        <v>خرداد 1405</v>
      </c>
      <c r="D280" s="13">
        <v>1570000</v>
      </c>
      <c r="E280" s="18">
        <v>1470000</v>
      </c>
      <c r="F280" s="49"/>
      <c r="G280" s="49"/>
      <c r="H280" s="49">
        <v>0.9</v>
      </c>
      <c r="I280" s="29">
        <f t="shared" si="8"/>
        <v>332.7525</v>
      </c>
      <c r="J280" s="30">
        <v>3.5000000000000003E-2</v>
      </c>
      <c r="K280" s="31">
        <f t="shared" si="9"/>
        <v>661.39</v>
      </c>
      <c r="L280" s="49">
        <v>1.1499999999999999</v>
      </c>
      <c r="M280" s="22">
        <v>0.39</v>
      </c>
    </row>
    <row r="281" spans="1:14" ht="18.399999999999999" x14ac:dyDescent="0.8">
      <c r="A281" s="1">
        <v>1405</v>
      </c>
      <c r="B281" s="1" t="s">
        <v>291</v>
      </c>
      <c r="C281" s="1" t="str">
        <f t="shared" si="7"/>
        <v>تیر 1405</v>
      </c>
      <c r="D281" s="13">
        <v>1570000</v>
      </c>
      <c r="E281" s="18">
        <v>1480000</v>
      </c>
      <c r="F281" s="49"/>
      <c r="G281" s="49"/>
      <c r="H281" s="49">
        <v>0.95</v>
      </c>
      <c r="I281" s="29">
        <f t="shared" si="8"/>
        <v>332.440224</v>
      </c>
      <c r="J281" s="30">
        <v>3.2000000000000001E-2</v>
      </c>
      <c r="K281" s="31">
        <f t="shared" si="9"/>
        <v>702.39</v>
      </c>
      <c r="L281" s="49">
        <v>1.2</v>
      </c>
      <c r="M281" s="22">
        <v>0.4</v>
      </c>
    </row>
    <row r="282" spans="1:14" ht="18.399999999999999" x14ac:dyDescent="0.45">
      <c r="A282" s="1"/>
      <c r="B282" s="1"/>
      <c r="C282" s="1"/>
      <c r="D282" s="50"/>
      <c r="E282" s="16"/>
      <c r="K282" s="31"/>
    </row>
    <row r="283" spans="1:14" ht="18.399999999999999" x14ac:dyDescent="0.45">
      <c r="A283" s="1"/>
      <c r="B283" s="1"/>
      <c r="C283" s="1"/>
      <c r="D283" s="50"/>
      <c r="E283" s="16"/>
      <c r="K283" s="31"/>
    </row>
    <row r="284" spans="1:14" ht="18.399999999999999" x14ac:dyDescent="0.45">
      <c r="A284" s="1"/>
      <c r="B284" s="1"/>
      <c r="C284" s="1"/>
      <c r="D284" s="50"/>
      <c r="E284" s="16"/>
      <c r="K284" s="31"/>
    </row>
    <row r="285" spans="1:14" ht="18.399999999999999" x14ac:dyDescent="0.8">
      <c r="A285" s="1"/>
      <c r="B285" s="1"/>
      <c r="C285" s="1"/>
      <c r="D285" s="50"/>
      <c r="E285" s="18"/>
      <c r="K285" s="31"/>
    </row>
    <row r="286" spans="1:14" ht="18.399999999999999" x14ac:dyDescent="0.8">
      <c r="A286" s="1"/>
      <c r="B286" s="1"/>
      <c r="C286" s="1"/>
      <c r="D286" s="50"/>
      <c r="E286" s="18"/>
      <c r="K286" s="31"/>
    </row>
    <row r="287" spans="1:14" ht="18.399999999999999" x14ac:dyDescent="0.8">
      <c r="A287" s="1"/>
      <c r="B287" s="1"/>
      <c r="C287" s="1"/>
      <c r="D287" s="50"/>
      <c r="E287" s="18"/>
      <c r="K287" s="31"/>
    </row>
    <row r="288" spans="1:14" ht="18.399999999999999" x14ac:dyDescent="0.8">
      <c r="A288" s="1"/>
      <c r="B288" s="1"/>
      <c r="C288" s="1"/>
      <c r="D288" s="36"/>
      <c r="E288" s="18"/>
      <c r="K288" s="31"/>
    </row>
    <row r="289" spans="1:11" ht="18.399999999999999" x14ac:dyDescent="0.8">
      <c r="A289" s="1"/>
      <c r="B289" s="1"/>
      <c r="C289" s="1"/>
      <c r="D289" s="36"/>
      <c r="E289" s="18"/>
      <c r="K289" s="31"/>
    </row>
    <row r="290" spans="1:11" ht="16.899999999999999" x14ac:dyDescent="0.45">
      <c r="D290" s="36"/>
    </row>
    <row r="301" spans="1:11" ht="16.5" x14ac:dyDescent="0.45">
      <c r="D301" s="51"/>
    </row>
    <row r="302" spans="1:11" x14ac:dyDescent="0.45">
      <c r="D302" s="14"/>
    </row>
    <row r="303" spans="1:11" x14ac:dyDescent="0.45">
      <c r="D303" s="14"/>
    </row>
    <row r="304" spans="1:11" x14ac:dyDescent="0.45">
      <c r="D304" s="14"/>
    </row>
    <row r="305" spans="4:4" x14ac:dyDescent="0.45">
      <c r="D305" s="14"/>
    </row>
    <row r="306" spans="4:4" x14ac:dyDescent="0.45">
      <c r="D306" s="14"/>
    </row>
    <row r="307" spans="4:4" x14ac:dyDescent="0.45">
      <c r="D307" s="14"/>
    </row>
    <row r="308" spans="4:4" x14ac:dyDescent="0.45">
      <c r="D308" s="14"/>
    </row>
    <row r="309" spans="4:4" x14ac:dyDescent="0.45">
      <c r="D309" s="14"/>
    </row>
    <row r="310" spans="4:4" x14ac:dyDescent="0.45">
      <c r="D310" s="14"/>
    </row>
    <row r="311" spans="4:4" x14ac:dyDescent="0.45">
      <c r="D311" s="14"/>
    </row>
    <row r="312" spans="4:4" x14ac:dyDescent="0.45">
      <c r="D312" s="14"/>
    </row>
    <row r="313" spans="4:4" x14ac:dyDescent="0.45">
      <c r="D313" s="14"/>
    </row>
    <row r="314" spans="4:4" x14ac:dyDescent="0.45">
      <c r="D314" s="14"/>
    </row>
    <row r="315" spans="4:4" x14ac:dyDescent="0.45">
      <c r="D315" s="14"/>
    </row>
    <row r="316" spans="4:4" x14ac:dyDescent="0.45">
      <c r="D316" s="14"/>
    </row>
    <row r="317" spans="4:4" x14ac:dyDescent="0.45">
      <c r="D317" s="14"/>
    </row>
    <row r="318" spans="4:4" x14ac:dyDescent="0.45">
      <c r="D318" s="14"/>
    </row>
    <row r="319" spans="4:4" x14ac:dyDescent="0.45">
      <c r="D319" s="14"/>
    </row>
    <row r="320" spans="4:4" x14ac:dyDescent="0.45">
      <c r="D320" s="14"/>
    </row>
    <row r="321" spans="4:4" x14ac:dyDescent="0.45">
      <c r="D321" s="14"/>
    </row>
    <row r="322" spans="4:4" x14ac:dyDescent="0.45">
      <c r="D322" s="14"/>
    </row>
    <row r="323" spans="4:4" x14ac:dyDescent="0.45">
      <c r="D323" s="14"/>
    </row>
    <row r="324" spans="4:4" ht="16.5" x14ac:dyDescent="0.45">
      <c r="D324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79C1B-0CD3-4F08-9C53-65264DB82768}">
  <dimension ref="A1:B11"/>
  <sheetViews>
    <sheetView rightToLeft="1" tabSelected="1" workbookViewId="0">
      <selection activeCell="B3" sqref="B3"/>
    </sheetView>
  </sheetViews>
  <sheetFormatPr defaultRowHeight="16.899999999999999" x14ac:dyDescent="0.8"/>
  <cols>
    <col min="1" max="1" width="18.86328125" style="56" bestFit="1" customWidth="1"/>
    <col min="2" max="2" width="8.06640625" style="56" bestFit="1" customWidth="1"/>
    <col min="3" max="16384" width="9.06640625" style="56"/>
  </cols>
  <sheetData>
    <row r="1" spans="1:2" x14ac:dyDescent="0.8">
      <c r="A1" s="22" t="s">
        <v>356</v>
      </c>
      <c r="B1" s="22" t="s">
        <v>357</v>
      </c>
    </row>
    <row r="2" spans="1:2" x14ac:dyDescent="0.8">
      <c r="A2" s="22" t="s">
        <v>359</v>
      </c>
      <c r="B2" s="6">
        <v>1570000</v>
      </c>
    </row>
    <row r="3" spans="1:2" x14ac:dyDescent="0.8">
      <c r="A3" s="56" t="s">
        <v>360</v>
      </c>
      <c r="B3" s="22">
        <v>0.45</v>
      </c>
    </row>
    <row r="4" spans="1:2" x14ac:dyDescent="0.8">
      <c r="A4" s="56" t="s">
        <v>361</v>
      </c>
      <c r="B4" s="22">
        <v>0.47</v>
      </c>
    </row>
    <row r="5" spans="1:2" x14ac:dyDescent="0.8">
      <c r="A5" s="56" t="s">
        <v>362</v>
      </c>
      <c r="B5" s="22">
        <v>0.5</v>
      </c>
    </row>
    <row r="6" spans="1:2" x14ac:dyDescent="0.8">
      <c r="A6" s="56" t="s">
        <v>363</v>
      </c>
      <c r="B6" s="22">
        <v>0.55000000000000004</v>
      </c>
    </row>
    <row r="7" spans="1:2" x14ac:dyDescent="0.8">
      <c r="A7" s="56" t="s">
        <v>364</v>
      </c>
      <c r="B7" s="22">
        <v>0.6</v>
      </c>
    </row>
    <row r="8" spans="1:2" x14ac:dyDescent="0.8">
      <c r="A8" s="56" t="s">
        <v>366</v>
      </c>
      <c r="B8" s="22">
        <v>0.65</v>
      </c>
    </row>
    <row r="9" spans="1:2" x14ac:dyDescent="0.8">
      <c r="A9" s="56" t="s">
        <v>365</v>
      </c>
      <c r="B9" s="22">
        <v>0.9</v>
      </c>
    </row>
    <row r="10" spans="1:2" x14ac:dyDescent="0.8">
      <c r="A10" s="56" t="s">
        <v>367</v>
      </c>
      <c r="B10" s="22">
        <v>0.95</v>
      </c>
    </row>
    <row r="11" spans="1:2" x14ac:dyDescent="0.8">
      <c r="A11" s="56" t="s">
        <v>358</v>
      </c>
      <c r="B11" s="22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Link</vt:lpstr>
      <vt:lpstr>monetary_variables</vt:lpstr>
      <vt:lpstr>stock_market_variables</vt:lpstr>
      <vt:lpstr>economic_variables</vt:lpstr>
      <vt:lpstr>Assumption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Seyed Mahmood Ahmadi</dc:creator>
  <cp:lastModifiedBy>Seyed Mahmood Ahmadi</cp:lastModifiedBy>
  <dcterms:created xsi:type="dcterms:W3CDTF">2025-05-21T10:46:10Z</dcterms:created>
  <dcterms:modified xsi:type="dcterms:W3CDTF">2026-06-16T09:02:58Z</dcterms:modified>
</cp:coreProperties>
</file>